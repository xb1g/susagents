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jects\ARSINOE\sustain-graph-internal\Data\"/>
    </mc:Choice>
  </mc:AlternateContent>
  <xr:revisionPtr revIDLastSave="0" documentId="13_ncr:1_{1AD1183E-19DA-4831-A742-2AC503876D80}" xr6:coauthVersionLast="47" xr6:coauthVersionMax="47" xr10:uidLastSave="{00000000-0000-0000-0000-000000000000}"/>
  <bookViews>
    <workbookView xWindow="0" yWindow="0" windowWidth="19200" windowHeight="15600" activeTab="1" xr2:uid="{94E882AF-1B13-4884-8D58-4D42824E0CEF}"/>
  </bookViews>
  <sheets>
    <sheet name="cs_1" sheetId="1" r:id="rId1"/>
    <sheet name="cs_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" i="2" l="1"/>
  <c r="A42" i="2"/>
  <c r="A41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26" i="2" l="1"/>
  <c r="A25" i="2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17" i="1"/>
  <c r="A18" i="1" s="1"/>
  <c r="A19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<sst xmlns="http://schemas.openxmlformats.org/spreadsheetml/2006/main" count="759" uniqueCount="217">
  <si>
    <t>id</t>
  </si>
  <si>
    <t>Stakeholder Name</t>
  </si>
  <si>
    <t>Operational Geoarea (NUTS Code)</t>
  </si>
  <si>
    <t>NACE Subsector</t>
  </si>
  <si>
    <t>NACE Codes</t>
  </si>
  <si>
    <t>Decision makers taxonomy Sector</t>
  </si>
  <si>
    <t>Decision makers taxonomy Subsector</t>
  </si>
  <si>
    <t>Influence</t>
  </si>
  <si>
    <t>Interest</t>
  </si>
  <si>
    <t>Region of Attica, General Directorate of Climate Change and Environment</t>
  </si>
  <si>
    <t>EL30</t>
  </si>
  <si>
    <t>O - Public administration and defence; compulsory social security</t>
  </si>
  <si>
    <t>Regulation of the activities of providing health care, education, cultural services and other social services, excluding social security</t>
  </si>
  <si>
    <t>84.12</t>
  </si>
  <si>
    <t>Public Sector</t>
  </si>
  <si>
    <t>Provincal Authority</t>
  </si>
  <si>
    <t>High</t>
  </si>
  <si>
    <t>Municipality of Athens and 40 municipalities of the AMA</t>
  </si>
  <si>
    <t>General public administration activities</t>
  </si>
  <si>
    <t>84.11</t>
  </si>
  <si>
    <t>Municipal Authority</t>
  </si>
  <si>
    <t>Municipality of Chalandri (UIA Project)</t>
  </si>
  <si>
    <t>Directorate of Strategic Planning, City of Athens</t>
  </si>
  <si>
    <t>Directorate of Greening</t>
  </si>
  <si>
    <t>synAthina</t>
  </si>
  <si>
    <t>S - Other Service Activities</t>
  </si>
  <si>
    <t>Activities of membership organizations</t>
  </si>
  <si>
    <t>94.9</t>
  </si>
  <si>
    <t>Non-Governmental Organizations</t>
  </si>
  <si>
    <t>Operational Organization</t>
  </si>
  <si>
    <t>Urban Dig Project</t>
  </si>
  <si>
    <t>R - Arts, Entertainment and Recreation</t>
  </si>
  <si>
    <t>Creative, arts and entertainment activities</t>
  </si>
  <si>
    <t>90.0</t>
  </si>
  <si>
    <t>Individuals</t>
  </si>
  <si>
    <t>National Population - Volunteer Groups</t>
  </si>
  <si>
    <t>Athens Climate Lab</t>
  </si>
  <si>
    <t>SOMA HELLINON PROSKOPON</t>
  </si>
  <si>
    <t>EL</t>
  </si>
  <si>
    <t>WWF</t>
  </si>
  <si>
    <t>Advocacy Organization</t>
  </si>
  <si>
    <t>Association of Tourism Enterprises</t>
  </si>
  <si>
    <t>Global Sustainable Tourism Council in Athens</t>
  </si>
  <si>
    <t>Regional Organizations</t>
  </si>
  <si>
    <t>EYDAP Water and Sewage Company</t>
  </si>
  <si>
    <t>E - Water supply, sewerage, waste management and remediation activities</t>
  </si>
  <si>
    <t xml:space="preserve">Water collection, treatment and supply; Sewerage </t>
  </si>
  <si>
    <t>Others</t>
  </si>
  <si>
    <t xml:space="preserve">Sewerage </t>
  </si>
  <si>
    <t>Center of Excellence in Sustainability,
 The American College of Greece</t>
  </si>
  <si>
    <t>P - Education</t>
  </si>
  <si>
    <t>Higher education</t>
  </si>
  <si>
    <t>85.4</t>
  </si>
  <si>
    <t>5 (Social Sciences)</t>
  </si>
  <si>
    <t>5.3 (Educational science)</t>
  </si>
  <si>
    <t xml:space="preserve">New European Bauhaus/National Contact Point </t>
  </si>
  <si>
    <t>H. PANGALOU &amp; ASSOCIATES LANDSCAPE ARCHITECTS</t>
  </si>
  <si>
    <t>M - Professional, scientific and technical activities</t>
  </si>
  <si>
    <t>Architectural activities</t>
  </si>
  <si>
    <t>71.11</t>
  </si>
  <si>
    <t>Low</t>
  </si>
  <si>
    <t>Alchemia Nova</t>
  </si>
  <si>
    <t>Research and experimental development on natural sciences and engineering</t>
  </si>
  <si>
    <t>72.19</t>
  </si>
  <si>
    <t>1 (Natural Sciences)</t>
  </si>
  <si>
    <t>1.5 (Earth and related Environmental sciences)</t>
  </si>
  <si>
    <t>Papayannis Team</t>
  </si>
  <si>
    <t>F - Construction</t>
  </si>
  <si>
    <t>Construction of Buildings</t>
  </si>
  <si>
    <t>Architectural and engineering activities and related technical consultancy</t>
  </si>
  <si>
    <t>71.1</t>
  </si>
  <si>
    <t>Urban Innovative Actions (UIA)</t>
  </si>
  <si>
    <t>U - Activities of extraterritorial organisations and bodies</t>
  </si>
  <si>
    <t>Activities of extraterritorial organisations and bodies</t>
  </si>
  <si>
    <t>99.00</t>
  </si>
  <si>
    <t>New Metropolitan Attica Development Agency</t>
  </si>
  <si>
    <t>Green Athens S.A</t>
  </si>
  <si>
    <t>ECOSCAPES (Landscape Architects and Designers)</t>
  </si>
  <si>
    <t xml:space="preserve">Maria Kaltsa (Architect) </t>
  </si>
  <si>
    <t xml:space="preserve">NTUA Urban Planning (Dept of Architecture) </t>
  </si>
  <si>
    <t>2 (Engineering and Technology)</t>
  </si>
  <si>
    <t>2.11 (Other engineering and technologies)</t>
  </si>
  <si>
    <t xml:space="preserve">Greenpeace </t>
  </si>
  <si>
    <t>Citizens Inspectorate for Sustainable Development</t>
  </si>
  <si>
    <t>Organization Earth</t>
  </si>
  <si>
    <t>podilates.gr</t>
  </si>
  <si>
    <t xml:space="preserve">Redcross.gr </t>
  </si>
  <si>
    <t>Terra incognita team</t>
  </si>
  <si>
    <t>National Center of Social Research</t>
  </si>
  <si>
    <t>5.4 (Sociology)</t>
  </si>
  <si>
    <t>Eurobank</t>
  </si>
  <si>
    <t>K - Finacial and Insurance Activities</t>
  </si>
  <si>
    <t>Other monetary intermediation</t>
  </si>
  <si>
    <t>64.19</t>
  </si>
  <si>
    <t>NACE Sector</t>
  </si>
  <si>
    <t>FOS Classification</t>
  </si>
  <si>
    <t>FOS Sub-classification</t>
  </si>
  <si>
    <t>Port Autority of Valencia</t>
  </si>
  <si>
    <t>SP</t>
  </si>
  <si>
    <t>N/A</t>
  </si>
  <si>
    <t>Port Authority</t>
  </si>
  <si>
    <t>MSCTV</t>
  </si>
  <si>
    <t>H- Transportation and storage</t>
  </si>
  <si>
    <t>Business support service activities n.e.c.</t>
  </si>
  <si>
    <t>Private Sector</t>
  </si>
  <si>
    <t>APM Terminals</t>
  </si>
  <si>
    <t>Cosco Shipping Ports Iberia</t>
  </si>
  <si>
    <t>Hellenic Republic Asset Development Fund (TAIPED)</t>
  </si>
  <si>
    <t>K - FINANCIAL AND INSURANCE ACTIVITIES</t>
  </si>
  <si>
    <t>Trusts, funds and similar financial entities</t>
  </si>
  <si>
    <t>64.30</t>
  </si>
  <si>
    <t>National Authority</t>
  </si>
  <si>
    <t>Municipality of Piraeus</t>
  </si>
  <si>
    <t>National Technical University of Athens (NTUA) / Laboratory of Harbour Works</t>
  </si>
  <si>
    <t>Academia</t>
  </si>
  <si>
    <t>Foundation for Economic and Industrial Research (IOBE)</t>
  </si>
  <si>
    <t>Scientific research and development</t>
  </si>
  <si>
    <t>5.2 Economics and Business</t>
  </si>
  <si>
    <t>Non-governmental organizations</t>
  </si>
  <si>
    <t>Research Centre</t>
  </si>
  <si>
    <t>Antipollution</t>
  </si>
  <si>
    <t xml:space="preserve">EL </t>
  </si>
  <si>
    <t>E - WATER SUPPLY; SEWERAGE, WASTE MANAGEMENT AND REMEDIATION ACTIVITIES</t>
  </si>
  <si>
    <t>Waste collection, treatment and disposal activities; materials recovery</t>
  </si>
  <si>
    <t xml:space="preserve">2.7 Environmental engineering </t>
  </si>
  <si>
    <t>Enterprise</t>
  </si>
  <si>
    <t>Hellenic Environmental Center (HEC)</t>
  </si>
  <si>
    <t>Hellenic Chamber of Shipping</t>
  </si>
  <si>
    <t>N - ADMINISTRATIVE AND SUPPORT SERVICE ACTIVITIES</t>
  </si>
  <si>
    <t>82.9</t>
  </si>
  <si>
    <t>Business Support Organisation</t>
  </si>
  <si>
    <t>Hellenic Centre for Marine Research (HCMR)</t>
  </si>
  <si>
    <t xml:space="preserve">1.6 Biological sciences </t>
  </si>
  <si>
    <t>Center of Renewable Energy Sources (CRES)</t>
  </si>
  <si>
    <t>American Bureau of Shipping (abs) Greece</t>
  </si>
  <si>
    <t>University of Piraeus / Department of Maritime Studies</t>
  </si>
  <si>
    <t xml:space="preserve">Hellenic Ministry of Environment and Energy </t>
  </si>
  <si>
    <t xml:space="preserve">Hellenic Ministry of Shipping and Island Policy </t>
  </si>
  <si>
    <t>Efmerida Lemesos  </t>
  </si>
  <si>
    <t>CY</t>
  </si>
  <si>
    <t xml:space="preserve">J - INFORMATION AND COMMUNICATION
</t>
  </si>
  <si>
    <t>58 - Publishing activities</t>
  </si>
  <si>
    <t>58.13 - Publishing of newspapers</t>
  </si>
  <si>
    <t>MEDIA</t>
  </si>
  <si>
    <t>HIGH</t>
  </si>
  <si>
    <t>LOW</t>
  </si>
  <si>
    <t>DP World Limassol </t>
  </si>
  <si>
    <t>52.2 - Support activities for transportation</t>
  </si>
  <si>
    <t>52.22 - Service activities incidental to water transportation</t>
  </si>
  <si>
    <t>Fameline Holding Group (FHG), </t>
  </si>
  <si>
    <t>2. Engineering and technology</t>
  </si>
  <si>
    <t>2.7 Environmental engineering</t>
  </si>
  <si>
    <t>Ipsonas Municipality </t>
  </si>
  <si>
    <t>84.1 - Administration of the State and the economic and social policy of the community</t>
  </si>
  <si>
    <t>84.11 - General public administration activities</t>
  </si>
  <si>
    <t>Limassol Municipality  </t>
  </si>
  <si>
    <t xml:space="preserve"> CYPRUS PORTS AUTHORITY </t>
  </si>
  <si>
    <t>Friends of the Earth </t>
  </si>
  <si>
    <t>M - PROFESSIONAL, SCIENTIFIC AND TECHNICAL ACTIVITIES</t>
  </si>
  <si>
    <t>72 - Scientific research and development</t>
  </si>
  <si>
    <t>NGO</t>
  </si>
  <si>
    <t>advocacy</t>
  </si>
  <si>
    <t>Shipping Deputy Ministry </t>
  </si>
  <si>
    <t>The Robotics Control and Decision Systems (RCDS) Laboratory </t>
  </si>
  <si>
    <t>2.3 Mechanical engineering,2.2 Electrical engineering, Electronic engineering, Information engineering</t>
  </si>
  <si>
    <t>DEFA</t>
  </si>
  <si>
    <t>35 - Electricity, gas, steam and air conditioning supply</t>
  </si>
  <si>
    <t>35.1 - Electric power generation, transmission and distribution</t>
  </si>
  <si>
    <t>35.12, 35.13</t>
  </si>
  <si>
    <t>Renewable-labs and Euroasia Interconnector  </t>
  </si>
  <si>
    <t>35.1</t>
  </si>
  <si>
    <t>CASS TECHAVA</t>
  </si>
  <si>
    <t>G - WHOLESALE AND RETAIL TRADE; REPAIR OF MOTOR VEHICLES AND MOTORCYCLES</t>
  </si>
  <si>
    <t>46.6 - Wholesale of other machinery, equipment and supplies</t>
  </si>
  <si>
    <t>Cyprus Energy Agency </t>
  </si>
  <si>
    <t>72.19 - Other research and experimental development on natural sciences and engineering</t>
  </si>
  <si>
    <t>  ABR-ALternative Brains Rule -Experimental Desigh and Innovation Studio ! </t>
  </si>
  <si>
    <t>71. Architectural and engineering activities; technical testing and analysis</t>
  </si>
  <si>
    <t>  P&amp;O Maritime Cyprus Ltd </t>
  </si>
  <si>
    <t xml:space="preserve"> EUROGATE Container Terminal Limassol Ltd </t>
  </si>
  <si>
    <t>52 - Warehousing and support activities for transportation</t>
  </si>
  <si>
    <t>52.24 - Cargo handling</t>
  </si>
  <si>
    <t>CMMI</t>
  </si>
  <si>
    <t xml:space="preserve">72.1 </t>
  </si>
  <si>
    <t xml:space="preserve">1. Natural sciences, 2. Engineering and technology </t>
  </si>
  <si>
    <t xml:space="preserve">1.2 Computer and information sciences1.5 Earth and related Environmental sciences ,1.6 Biological sciences,2.2 Electrical engineering, Electronic engineering, Information engineering, 2.7 Environmental engineering </t>
  </si>
  <si>
    <t xml:space="preserve">Lemissoler ltd </t>
  </si>
  <si>
    <t>H - TRANSPORTATION AND STORAGE</t>
  </si>
  <si>
    <t>50 - Water transport</t>
  </si>
  <si>
    <t>50.20 - Sea and coastal freight water transport</t>
  </si>
  <si>
    <t>ESMERALDA</t>
  </si>
  <si>
    <t xml:space="preserve">M - PROFESSIONAL, SCIENTIFIC AND TECHNICAL ACTIVITIES, N - ADMINISTRATIVE AND SUPPORT SERVICE ACTIVITIES
</t>
  </si>
  <si>
    <t xml:space="preserve">70 - Activities of head offices; management consultancy activities, 78 - Employment activities
</t>
  </si>
  <si>
    <t>70.1, 70.2, 78.3,78.1</t>
  </si>
  <si>
    <t>KeelX</t>
  </si>
  <si>
    <t>, 62.01 - activities of computer consultants, see 62.02, 62.09 - technical testing, see 71.20 - research and development activities related to engineering, see 72.19 - industrial design, see 74.10 </t>
  </si>
  <si>
    <t>Infoport</t>
  </si>
  <si>
    <t>Balearia</t>
  </si>
  <si>
    <t>Boluda</t>
  </si>
  <si>
    <t>VALTE</t>
  </si>
  <si>
    <t>SERTEGO</t>
  </si>
  <si>
    <t>RECICLAMAS</t>
  </si>
  <si>
    <t>Spanish General Directorate of Merchant Marine</t>
  </si>
  <si>
    <t>Maritime Administration</t>
  </si>
  <si>
    <t>M72 - Scientific research and development</t>
  </si>
  <si>
    <t>G46 - Wholesale trade, except of motor vehicles and motorcycles</t>
  </si>
  <si>
    <t xml:space="preserve">
52 - Warehousing and support activities for transportation</t>
  </si>
  <si>
    <t>5. Social sciences</t>
  </si>
  <si>
    <t xml:space="preserve"> 5.7 Social and economic geography</t>
  </si>
  <si>
    <t>2.2 Electrical engineering, Electronic engineering, Information engineering,</t>
  </si>
  <si>
    <t xml:space="preserve">5.3 Educational sciences </t>
  </si>
  <si>
    <t>1. Natural sciences</t>
  </si>
  <si>
    <t xml:space="preserve">5. Social sciences </t>
  </si>
  <si>
    <t>1.5 Earth and related Environmental sciences</t>
  </si>
  <si>
    <t>5.3 Educational sciences</t>
  </si>
  <si>
    <t>5.7 Social and economic geography</t>
  </si>
  <si>
    <t xml:space="preserve">2. Engineering and technology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</si>
</sst>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161"/>
      <scheme val="minor"/>
    </font>
    <font>
      <u/>
      <sz val="10"/>
      <color theme="10"/>
      <name val="Calibri"/>
      <family val="2"/>
      <charset val="161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6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5" fillId="0" borderId="0"/>
    <xf numFmtId="0" fontId="5" fillId="0" borderId="0"/>
    <xf numFmtId="0" fontId="7" fillId="0" borderId="0" applyNumberFormat="0" applyFill="0" applyBorder="0" applyAlignment="0" applyProtection="0"/>
  </cellStyleXfs>
  <cellXfs count="102">
    <xf numFmtId="0" fontId="0" fillId="0" borderId="0" xfId="0"/>
    <xf numFmtId="0" fontId="4" fillId="4" borderId="1" xfId="0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49" fontId="0" fillId="0" borderId="0" xfId="0" applyNumberFormat="1"/>
    <xf numFmtId="0" fontId="3" fillId="0" borderId="1" xfId="0" applyFont="1" applyFill="1" applyBorder="1" applyAlignment="1">
      <alignment horizontal="left" wrapText="1"/>
    </xf>
    <xf numFmtId="49" fontId="3" fillId="0" borderId="1" xfId="0" applyNumberFormat="1" applyFont="1" applyFill="1" applyBorder="1" applyAlignment="1">
      <alignment horizontal="left" wrapText="1"/>
    </xf>
    <xf numFmtId="0" fontId="3" fillId="0" borderId="1" xfId="0" applyFont="1" applyFill="1" applyBorder="1" applyAlignment="1">
      <alignment wrapText="1"/>
    </xf>
    <xf numFmtId="0" fontId="3" fillId="0" borderId="2" xfId="0" applyFont="1" applyFill="1" applyBorder="1" applyAlignment="1">
      <alignment horizontal="left" wrapText="1"/>
    </xf>
    <xf numFmtId="49" fontId="3" fillId="0" borderId="2" xfId="0" applyNumberFormat="1" applyFont="1" applyFill="1" applyBorder="1" applyAlignment="1">
      <alignment horizontal="left" wrapText="1"/>
    </xf>
    <xf numFmtId="0" fontId="3" fillId="0" borderId="2" xfId="0" applyFont="1" applyFill="1" applyBorder="1" applyAlignment="1">
      <alignment wrapText="1"/>
    </xf>
    <xf numFmtId="0" fontId="4" fillId="4" borderId="1" xfId="1" applyFont="1" applyFill="1" applyBorder="1" applyAlignment="1">
      <alignment horizontal="left" wrapText="1"/>
    </xf>
    <xf numFmtId="0" fontId="4" fillId="6" borderId="1" xfId="1" applyFont="1" applyFill="1" applyBorder="1" applyAlignment="1">
      <alignment horizontal="left" wrapText="1"/>
    </xf>
    <xf numFmtId="0" fontId="4" fillId="7" borderId="1" xfId="1" applyFont="1" applyFill="1" applyBorder="1" applyAlignment="1">
      <alignment horizontal="left" wrapText="1"/>
    </xf>
    <xf numFmtId="0" fontId="4" fillId="2" borderId="1" xfId="1" applyFont="1" applyFill="1" applyBorder="1" applyAlignment="1">
      <alignment horizontal="left" wrapText="1"/>
    </xf>
    <xf numFmtId="0" fontId="4" fillId="4" borderId="9" xfId="1" applyFont="1" applyFill="1" applyBorder="1" applyAlignment="1">
      <alignment horizontal="left" wrapText="1"/>
    </xf>
    <xf numFmtId="0" fontId="1" fillId="0" borderId="0" xfId="1"/>
    <xf numFmtId="0" fontId="1" fillId="5" borderId="1" xfId="1" applyFill="1" applyBorder="1" applyAlignment="1">
      <alignment horizontal="left" wrapText="1"/>
    </xf>
    <xf numFmtId="0" fontId="1" fillId="0" borderId="0" xfId="1" applyAlignment="1">
      <alignment wrapText="1"/>
    </xf>
    <xf numFmtId="0" fontId="9" fillId="5" borderId="3" xfId="1" applyFont="1" applyFill="1" applyBorder="1" applyAlignment="1">
      <alignment horizontal="left" wrapText="1"/>
    </xf>
    <xf numFmtId="0" fontId="9" fillId="5" borderId="10" xfId="1" applyFont="1" applyFill="1" applyBorder="1" applyAlignment="1">
      <alignment horizontal="left" wrapText="1"/>
    </xf>
    <xf numFmtId="0" fontId="1" fillId="3" borderId="10" xfId="1" applyFill="1" applyBorder="1" applyAlignment="1">
      <alignment horizontal="left" wrapText="1"/>
    </xf>
    <xf numFmtId="0" fontId="1" fillId="5" borderId="4" xfId="1" applyFill="1" applyBorder="1" applyAlignment="1">
      <alignment horizontal="left" wrapText="1"/>
    </xf>
    <xf numFmtId="0" fontId="3" fillId="0" borderId="1" xfId="1" applyFont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0" fontId="9" fillId="0" borderId="1" xfId="1" applyFont="1" applyBorder="1" applyAlignment="1">
      <alignment horizontal="left" wrapText="1"/>
    </xf>
    <xf numFmtId="0" fontId="1" fillId="0" borderId="4" xfId="1" applyBorder="1" applyAlignment="1">
      <alignment horizontal="left" wrapText="1"/>
    </xf>
    <xf numFmtId="0" fontId="1" fillId="0" borderId="0" xfId="1" applyAlignment="1">
      <alignment horizontal="left" wrapText="1"/>
    </xf>
    <xf numFmtId="0" fontId="9" fillId="5" borderId="11" xfId="1" applyFont="1" applyFill="1" applyBorder="1" applyAlignment="1">
      <alignment horizontal="left" wrapText="1"/>
    </xf>
    <xf numFmtId="0" fontId="9" fillId="5" borderId="8" xfId="1" applyFont="1" applyFill="1" applyBorder="1" applyAlignment="1">
      <alignment horizontal="left" wrapText="1"/>
    </xf>
    <xf numFmtId="0" fontId="3" fillId="0" borderId="0" xfId="1" applyFont="1" applyAlignment="1">
      <alignment horizontal="left" wrapText="1"/>
    </xf>
    <xf numFmtId="0" fontId="9" fillId="0" borderId="0" xfId="1" applyFont="1" applyAlignment="1">
      <alignment horizontal="left" wrapText="1"/>
    </xf>
    <xf numFmtId="0" fontId="3" fillId="0" borderId="4" xfId="1" applyFont="1" applyBorder="1" applyAlignment="1">
      <alignment horizontal="left" wrapText="1"/>
    </xf>
    <xf numFmtId="0" fontId="9" fillId="0" borderId="4" xfId="1" applyFont="1" applyBorder="1" applyAlignment="1">
      <alignment horizontal="left" wrapText="1"/>
    </xf>
    <xf numFmtId="0" fontId="9" fillId="5" borderId="13" xfId="1" applyFont="1" applyFill="1" applyBorder="1" applyAlignment="1">
      <alignment horizontal="left" wrapText="1"/>
    </xf>
    <xf numFmtId="0" fontId="9" fillId="5" borderId="19" xfId="1" applyFont="1" applyFill="1" applyBorder="1" applyAlignment="1">
      <alignment horizontal="left" wrapText="1"/>
    </xf>
    <xf numFmtId="0" fontId="1" fillId="3" borderId="13" xfId="1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3" fillId="0" borderId="1" xfId="1" applyFont="1" applyFill="1" applyBorder="1" applyAlignment="1">
      <alignment horizontal="left" wrapText="1"/>
    </xf>
    <xf numFmtId="0" fontId="3" fillId="0" borderId="9" xfId="1" applyFont="1" applyFill="1" applyBorder="1" applyAlignment="1">
      <alignment horizontal="left" wrapText="1"/>
    </xf>
    <xf numFmtId="0" fontId="1" fillId="0" borderId="1" xfId="1" applyFill="1" applyBorder="1" applyAlignment="1">
      <alignment horizontal="left" wrapText="1"/>
    </xf>
    <xf numFmtId="0" fontId="1" fillId="0" borderId="9" xfId="1" applyFill="1" applyBorder="1" applyAlignment="1">
      <alignment horizontal="left" wrapText="1"/>
    </xf>
    <xf numFmtId="0" fontId="9" fillId="0" borderId="1" xfId="1" applyFont="1" applyFill="1" applyBorder="1" applyAlignment="1">
      <alignment horizontal="left" wrapText="1"/>
    </xf>
    <xf numFmtId="0" fontId="9" fillId="0" borderId="9" xfId="1" applyFont="1" applyFill="1" applyBorder="1" applyAlignment="1">
      <alignment horizontal="left" wrapText="1"/>
    </xf>
    <xf numFmtId="0" fontId="1" fillId="0" borderId="3" xfId="1" applyFill="1" applyBorder="1" applyAlignment="1">
      <alignment horizontal="left" wrapText="1"/>
    </xf>
    <xf numFmtId="0" fontId="9" fillId="0" borderId="3" xfId="1" applyFont="1" applyFill="1" applyBorder="1" applyAlignment="1">
      <alignment horizontal="left" wrapText="1"/>
    </xf>
    <xf numFmtId="0" fontId="9" fillId="0" borderId="10" xfId="1" applyFont="1" applyFill="1" applyBorder="1" applyAlignment="1">
      <alignment horizontal="left" wrapText="1"/>
    </xf>
    <xf numFmtId="0" fontId="9" fillId="0" borderId="11" xfId="1" applyFont="1" applyFill="1" applyBorder="1" applyAlignment="1">
      <alignment horizontal="left" wrapText="1"/>
    </xf>
    <xf numFmtId="0" fontId="9" fillId="0" borderId="14" xfId="1" applyFont="1" applyFill="1" applyBorder="1" applyAlignment="1">
      <alignment horizontal="left" wrapText="1"/>
    </xf>
    <xf numFmtId="0" fontId="9" fillId="0" borderId="17" xfId="1" applyFont="1" applyFill="1" applyBorder="1" applyAlignment="1">
      <alignment horizontal="left" wrapText="1"/>
    </xf>
    <xf numFmtId="0" fontId="1" fillId="0" borderId="0" xfId="1" applyFill="1" applyAlignment="1">
      <alignment horizontal="left" wrapText="1"/>
    </xf>
    <xf numFmtId="0" fontId="1" fillId="0" borderId="11" xfId="1" applyFill="1" applyBorder="1" applyAlignment="1">
      <alignment horizontal="left" wrapText="1"/>
    </xf>
    <xf numFmtId="0" fontId="1" fillId="0" borderId="18" xfId="1" applyFill="1" applyBorder="1" applyAlignment="1">
      <alignment horizontal="left" wrapText="1"/>
    </xf>
    <xf numFmtId="0" fontId="9" fillId="0" borderId="18" xfId="1" applyFont="1" applyFill="1" applyBorder="1" applyAlignment="1">
      <alignment horizontal="left" wrapText="1"/>
    </xf>
    <xf numFmtId="0" fontId="1" fillId="0" borderId="10" xfId="1" applyFill="1" applyBorder="1" applyAlignment="1">
      <alignment horizontal="left" wrapText="1"/>
    </xf>
    <xf numFmtId="0" fontId="1" fillId="0" borderId="12" xfId="1" applyFill="1" applyBorder="1" applyAlignment="1">
      <alignment horizontal="left" wrapText="1"/>
    </xf>
    <xf numFmtId="0" fontId="3" fillId="0" borderId="14" xfId="1" applyFont="1" applyFill="1" applyBorder="1" applyAlignment="1">
      <alignment wrapText="1"/>
    </xf>
    <xf numFmtId="0" fontId="1" fillId="0" borderId="14" xfId="1" applyFill="1" applyBorder="1" applyAlignment="1">
      <alignment wrapText="1"/>
    </xf>
    <xf numFmtId="0" fontId="1" fillId="0" borderId="0" xfId="1" applyFill="1"/>
    <xf numFmtId="0" fontId="10" fillId="0" borderId="14" xfId="1" applyFont="1" applyFill="1" applyBorder="1" applyAlignment="1">
      <alignment wrapText="1"/>
    </xf>
    <xf numFmtId="0" fontId="1" fillId="0" borderId="15" xfId="1" applyFill="1" applyBorder="1" applyAlignment="1">
      <alignment wrapText="1"/>
    </xf>
    <xf numFmtId="0" fontId="1" fillId="0" borderId="5" xfId="1" applyFill="1" applyBorder="1" applyAlignment="1">
      <alignment horizontal="left" wrapText="1"/>
    </xf>
    <xf numFmtId="0" fontId="1" fillId="0" borderId="7" xfId="1" applyFill="1" applyBorder="1" applyAlignment="1">
      <alignment horizontal="left" wrapText="1"/>
    </xf>
    <xf numFmtId="0" fontId="3" fillId="0" borderId="10" xfId="1" applyFont="1" applyFill="1" applyBorder="1" applyAlignment="1">
      <alignment wrapText="1"/>
    </xf>
    <xf numFmtId="0" fontId="1" fillId="0" borderId="10" xfId="1" applyFill="1" applyBorder="1" applyAlignment="1">
      <alignment wrapText="1"/>
    </xf>
    <xf numFmtId="0" fontId="1" fillId="0" borderId="12" xfId="1" applyFill="1" applyBorder="1" applyAlignment="1">
      <alignment wrapText="1"/>
    </xf>
    <xf numFmtId="0" fontId="10" fillId="0" borderId="10" xfId="1" applyFont="1" applyFill="1" applyBorder="1" applyAlignment="1">
      <alignment wrapText="1"/>
    </xf>
    <xf numFmtId="0" fontId="1" fillId="0" borderId="13" xfId="1" applyFill="1" applyBorder="1" applyAlignment="1">
      <alignment wrapText="1"/>
    </xf>
    <xf numFmtId="0" fontId="1" fillId="0" borderId="6" xfId="1" applyFill="1" applyBorder="1" applyAlignment="1">
      <alignment horizontal="left" wrapText="1"/>
    </xf>
    <xf numFmtId="0" fontId="1" fillId="0" borderId="0" xfId="1" applyFill="1" applyBorder="1" applyAlignment="1">
      <alignment wrapText="1"/>
    </xf>
    <xf numFmtId="0" fontId="1" fillId="0" borderId="0" xfId="1" applyFill="1" applyBorder="1"/>
    <xf numFmtId="0" fontId="0" fillId="0" borderId="0" xfId="0" applyFill="1" applyBorder="1"/>
    <xf numFmtId="0" fontId="4" fillId="0" borderId="0" xfId="1" applyFont="1" applyFill="1" applyBorder="1" applyAlignment="1">
      <alignment wrapText="1"/>
    </xf>
    <xf numFmtId="0" fontId="8" fillId="0" borderId="0" xfId="1" applyFont="1" applyFill="1" applyBorder="1" applyAlignment="1">
      <alignment wrapText="1" readingOrder="1"/>
    </xf>
    <xf numFmtId="0" fontId="3" fillId="0" borderId="0" xfId="1" applyFont="1" applyFill="1" applyBorder="1" applyAlignment="1">
      <alignment wrapText="1"/>
    </xf>
    <xf numFmtId="0" fontId="7" fillId="0" borderId="0" xfId="5" applyFill="1" applyBorder="1" applyAlignment="1">
      <alignment wrapText="1"/>
    </xf>
    <xf numFmtId="0" fontId="3" fillId="8" borderId="1" xfId="0" applyFont="1" applyFill="1" applyBorder="1" applyAlignment="1">
      <alignment horizontal="left" wrapText="1"/>
    </xf>
    <xf numFmtId="0" fontId="9" fillId="8" borderId="1" xfId="0" applyFont="1" applyFill="1" applyBorder="1" applyAlignment="1">
      <alignment horizontal="left" wrapText="1"/>
    </xf>
    <xf numFmtId="0" fontId="3" fillId="8" borderId="1" xfId="0" applyFont="1" applyFill="1" applyBorder="1" applyAlignment="1">
      <alignment horizontal="center" wrapText="1"/>
    </xf>
    <xf numFmtId="0" fontId="1" fillId="8" borderId="1" xfId="1" applyFill="1" applyBorder="1" applyAlignment="1">
      <alignment horizontal="left" wrapText="1"/>
    </xf>
    <xf numFmtId="0" fontId="1" fillId="8" borderId="9" xfId="1" applyFill="1" applyBorder="1" applyAlignment="1">
      <alignment horizontal="left" wrapText="1"/>
    </xf>
    <xf numFmtId="0" fontId="9" fillId="8" borderId="1" xfId="1" applyFont="1" applyFill="1" applyBorder="1" applyAlignment="1">
      <alignment horizontal="left" wrapText="1"/>
    </xf>
    <xf numFmtId="0" fontId="3" fillId="8" borderId="1" xfId="1" applyFont="1" applyFill="1" applyBorder="1" applyAlignment="1">
      <alignment horizontal="left" wrapText="1"/>
    </xf>
    <xf numFmtId="0" fontId="1" fillId="8" borderId="2" xfId="1" applyFill="1" applyBorder="1" applyAlignment="1">
      <alignment horizontal="left" wrapText="1"/>
    </xf>
    <xf numFmtId="0" fontId="3" fillId="8" borderId="9" xfId="1" applyFont="1" applyFill="1" applyBorder="1" applyAlignment="1">
      <alignment horizontal="left" wrapText="1"/>
    </xf>
    <xf numFmtId="0" fontId="1" fillId="8" borderId="3" xfId="1" applyFill="1" applyBorder="1" applyAlignment="1">
      <alignment horizontal="left" wrapText="1"/>
    </xf>
    <xf numFmtId="0" fontId="3" fillId="8" borderId="3" xfId="1" applyFont="1" applyFill="1" applyBorder="1" applyAlignment="1">
      <alignment horizontal="left" wrapText="1"/>
    </xf>
    <xf numFmtId="0" fontId="9" fillId="8" borderId="3" xfId="1" applyFont="1" applyFill="1" applyBorder="1" applyAlignment="1">
      <alignment horizontal="left" wrapText="1"/>
    </xf>
    <xf numFmtId="0" fontId="9" fillId="8" borderId="6" xfId="1" applyFont="1" applyFill="1" applyBorder="1" applyAlignment="1">
      <alignment horizontal="left" wrapText="1"/>
    </xf>
    <xf numFmtId="0" fontId="9" fillId="8" borderId="10" xfId="1" applyFont="1" applyFill="1" applyBorder="1" applyAlignment="1">
      <alignment horizontal="left" wrapText="1"/>
    </xf>
    <xf numFmtId="0" fontId="9" fillId="8" borderId="11" xfId="1" applyFont="1" applyFill="1" applyBorder="1" applyAlignment="1">
      <alignment horizontal="left" wrapText="1"/>
    </xf>
    <xf numFmtId="0" fontId="9" fillId="8" borderId="8" xfId="1" applyFont="1" applyFill="1" applyBorder="1" applyAlignment="1">
      <alignment horizontal="left" wrapText="1"/>
    </xf>
    <xf numFmtId="0" fontId="3" fillId="8" borderId="11" xfId="1" applyFont="1" applyFill="1" applyBorder="1" applyAlignment="1">
      <alignment horizontal="left" wrapText="1"/>
    </xf>
    <xf numFmtId="0" fontId="3" fillId="8" borderId="16" xfId="1" applyFont="1" applyFill="1" applyBorder="1" applyAlignment="1">
      <alignment horizontal="left" wrapText="1"/>
    </xf>
    <xf numFmtId="0" fontId="3" fillId="8" borderId="10" xfId="1" applyFont="1" applyFill="1" applyBorder="1" applyAlignment="1">
      <alignment horizontal="left" wrapText="1"/>
    </xf>
    <xf numFmtId="0" fontId="3" fillId="8" borderId="12" xfId="1" applyFont="1" applyFill="1" applyBorder="1" applyAlignment="1">
      <alignment horizontal="left" wrapText="1"/>
    </xf>
    <xf numFmtId="0" fontId="1" fillId="0" borderId="0" xfId="1" applyBorder="1" applyAlignment="1">
      <alignment horizontal="left" wrapText="1"/>
    </xf>
    <xf numFmtId="0" fontId="9" fillId="0" borderId="20" xfId="1" applyFont="1" applyFill="1" applyBorder="1" applyAlignment="1">
      <alignment horizontal="left" wrapText="1"/>
    </xf>
    <xf numFmtId="0" fontId="9" fillId="0" borderId="0" xfId="1" applyFont="1" applyFill="1" applyBorder="1" applyAlignment="1">
      <alignment horizontal="left" wrapText="1"/>
    </xf>
    <xf numFmtId="0" fontId="9" fillId="0" borderId="16" xfId="1" applyFont="1" applyFill="1" applyBorder="1" applyAlignment="1">
      <alignment horizontal="left" wrapText="1"/>
    </xf>
    <xf numFmtId="0" fontId="9" fillId="5" borderId="0" xfId="1" applyFont="1" applyFill="1" applyBorder="1" applyAlignment="1">
      <alignment horizontal="left" wrapText="1"/>
    </xf>
  </cellXfs>
  <cellStyles count="6">
    <cellStyle name="Hyperlink" xfId="2" xr:uid="{E437C161-8DFE-468A-B3F0-165A9F795D52}"/>
    <cellStyle name="Hyperlink 2" xfId="5" xr:uid="{FEF68792-EC0F-47FB-A191-7FF566C5F7DD}"/>
    <cellStyle name="Normal 2" xfId="3" xr:uid="{20EC7A27-5394-46FE-B5B2-07D1E60CDAB9}"/>
    <cellStyle name="Normal_REGIONS 2010 - graphs &amp; tables - ch.6 EN FR DE - v.25FEB10" xfId="4" xr:uid="{E46093FF-F10A-42C3-8B8C-06600B5BDD0B}"/>
    <cellStyle name="Κανονικό" xfId="0" builtinId="0"/>
    <cellStyle name="Κανονικό 2" xfId="1" xr:uid="{DF7C0D7A-0693-4C0F-B8D4-7A82F7D209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nap.org/help-library/the-humanitarian-decision-makers-taxonomy" TargetMode="External"/><Relationship Id="rId2" Type="http://schemas.openxmlformats.org/officeDocument/2006/relationships/hyperlink" Target="https://www.oecd.org/science/inno/38235147.pdf" TargetMode="External"/><Relationship Id="rId1" Type="http://schemas.openxmlformats.org/officeDocument/2006/relationships/hyperlink" Target="https://nacev2.com/e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ec.europa.eu/eurostat/web/nuts/backgroun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nacev2.com/en/activity/support-activities-for-transportation" TargetMode="External"/><Relationship Id="rId1" Type="http://schemas.openxmlformats.org/officeDocument/2006/relationships/hyperlink" Target="https://nacev2.com/en/activity/wholesale-and-retail-trade-repair-of-motor-vehicles-and-motorcyc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95F8-B998-476C-BBC0-AE9C1B970EAF}">
  <dimension ref="A1:L35"/>
  <sheetViews>
    <sheetView topLeftCell="A16" workbookViewId="0">
      <selection activeCell="E3" sqref="E3"/>
    </sheetView>
  </sheetViews>
  <sheetFormatPr defaultRowHeight="15" x14ac:dyDescent="0.25"/>
  <cols>
    <col min="2" max="2" width="31.5703125" customWidth="1"/>
    <col min="4" max="4" width="19.28515625" customWidth="1"/>
    <col min="5" max="5" width="24.28515625" customWidth="1"/>
    <col min="6" max="6" width="8.7109375" style="5"/>
  </cols>
  <sheetData>
    <row r="1" spans="1:12" ht="64.5" x14ac:dyDescent="0.25">
      <c r="A1" s="12" t="s">
        <v>0</v>
      </c>
      <c r="B1" s="12" t="s">
        <v>1</v>
      </c>
      <c r="C1" s="12" t="s">
        <v>2</v>
      </c>
      <c r="D1" s="13" t="s">
        <v>94</v>
      </c>
      <c r="E1" s="13" t="s">
        <v>3</v>
      </c>
      <c r="F1" s="13" t="s">
        <v>4</v>
      </c>
      <c r="G1" s="14" t="s">
        <v>95</v>
      </c>
      <c r="H1" s="14" t="s">
        <v>96</v>
      </c>
      <c r="I1" s="15" t="s">
        <v>5</v>
      </c>
      <c r="J1" s="15" t="s">
        <v>6</v>
      </c>
      <c r="K1" s="12" t="s">
        <v>7</v>
      </c>
      <c r="L1" s="16" t="s">
        <v>8</v>
      </c>
    </row>
    <row r="2" spans="1:12" ht="64.5" x14ac:dyDescent="0.25">
      <c r="A2" s="6">
        <v>1</v>
      </c>
      <c r="B2" s="6" t="s">
        <v>9</v>
      </c>
      <c r="C2" s="6" t="s">
        <v>10</v>
      </c>
      <c r="D2" s="6" t="s">
        <v>11</v>
      </c>
      <c r="E2" s="6" t="s">
        <v>12</v>
      </c>
      <c r="F2" s="7" t="s">
        <v>13</v>
      </c>
      <c r="G2" s="6"/>
      <c r="H2" s="6"/>
      <c r="I2" s="6" t="s">
        <v>14</v>
      </c>
      <c r="J2" s="6" t="s">
        <v>15</v>
      </c>
      <c r="K2" s="6" t="s">
        <v>16</v>
      </c>
      <c r="L2" s="6" t="s">
        <v>16</v>
      </c>
    </row>
    <row r="3" spans="1:12" ht="51.75" x14ac:dyDescent="0.25">
      <c r="A3" s="6">
        <f>A2+1</f>
        <v>2</v>
      </c>
      <c r="B3" s="6" t="s">
        <v>17</v>
      </c>
      <c r="C3" s="6" t="s">
        <v>10</v>
      </c>
      <c r="D3" s="6" t="s">
        <v>11</v>
      </c>
      <c r="E3" s="6" t="s">
        <v>18</v>
      </c>
      <c r="F3" s="7">
        <v>84.11</v>
      </c>
      <c r="G3" s="6"/>
      <c r="H3" s="6"/>
      <c r="I3" s="6" t="s">
        <v>14</v>
      </c>
      <c r="J3" s="6" t="s">
        <v>20</v>
      </c>
      <c r="K3" s="6" t="s">
        <v>16</v>
      </c>
      <c r="L3" s="6" t="s">
        <v>16</v>
      </c>
    </row>
    <row r="4" spans="1:12" ht="51.75" x14ac:dyDescent="0.25">
      <c r="A4" s="6">
        <f t="shared" ref="A4:A35" si="0">A3+1</f>
        <v>3</v>
      </c>
      <c r="B4" s="6" t="s">
        <v>21</v>
      </c>
      <c r="C4" s="6" t="s">
        <v>10</v>
      </c>
      <c r="D4" s="6" t="s">
        <v>11</v>
      </c>
      <c r="E4" s="6" t="s">
        <v>18</v>
      </c>
      <c r="F4" s="7" t="s">
        <v>19</v>
      </c>
      <c r="G4" s="6"/>
      <c r="H4" s="6"/>
      <c r="I4" s="6" t="s">
        <v>14</v>
      </c>
      <c r="J4" s="6" t="s">
        <v>20</v>
      </c>
      <c r="K4" s="6" t="s">
        <v>16</v>
      </c>
      <c r="L4" s="6" t="s">
        <v>16</v>
      </c>
    </row>
    <row r="5" spans="1:12" ht="64.5" x14ac:dyDescent="0.25">
      <c r="A5" s="6">
        <f t="shared" si="0"/>
        <v>4</v>
      </c>
      <c r="B5" s="6" t="s">
        <v>22</v>
      </c>
      <c r="C5" s="6" t="s">
        <v>10</v>
      </c>
      <c r="D5" s="6" t="s">
        <v>11</v>
      </c>
      <c r="E5" s="6" t="s">
        <v>12</v>
      </c>
      <c r="F5" s="7" t="s">
        <v>13</v>
      </c>
      <c r="G5" s="6"/>
      <c r="H5" s="6"/>
      <c r="I5" s="6" t="s">
        <v>14</v>
      </c>
      <c r="J5" s="6" t="s">
        <v>20</v>
      </c>
      <c r="K5" s="6" t="s">
        <v>16</v>
      </c>
      <c r="L5" s="6" t="s">
        <v>16</v>
      </c>
    </row>
    <row r="6" spans="1:12" ht="64.5" x14ac:dyDescent="0.25">
      <c r="A6" s="6">
        <f t="shared" si="0"/>
        <v>5</v>
      </c>
      <c r="B6" s="6" t="s">
        <v>23</v>
      </c>
      <c r="C6" s="6" t="s">
        <v>10</v>
      </c>
      <c r="D6" s="6" t="s">
        <v>11</v>
      </c>
      <c r="E6" s="6" t="s">
        <v>12</v>
      </c>
      <c r="F6" s="7" t="s">
        <v>13</v>
      </c>
      <c r="G6" s="6"/>
      <c r="H6" s="6"/>
      <c r="I6" s="6" t="s">
        <v>14</v>
      </c>
      <c r="J6" s="6" t="s">
        <v>20</v>
      </c>
      <c r="K6" s="6" t="s">
        <v>16</v>
      </c>
      <c r="L6" s="6" t="s">
        <v>16</v>
      </c>
    </row>
    <row r="7" spans="1:12" ht="64.5" x14ac:dyDescent="0.25">
      <c r="A7" s="6">
        <f t="shared" si="0"/>
        <v>6</v>
      </c>
      <c r="B7" s="6" t="s">
        <v>24</v>
      </c>
      <c r="C7" s="6" t="s">
        <v>10</v>
      </c>
      <c r="D7" s="6" t="s">
        <v>25</v>
      </c>
      <c r="E7" s="6" t="s">
        <v>26</v>
      </c>
      <c r="F7" s="7" t="s">
        <v>27</v>
      </c>
      <c r="G7" s="6"/>
      <c r="H7" s="6"/>
      <c r="I7" s="6" t="s">
        <v>28</v>
      </c>
      <c r="J7" s="6" t="s">
        <v>29</v>
      </c>
      <c r="K7" s="6" t="s">
        <v>16</v>
      </c>
      <c r="L7" s="6" t="s">
        <v>16</v>
      </c>
    </row>
    <row r="8" spans="1:12" ht="64.5" x14ac:dyDescent="0.25">
      <c r="A8" s="6">
        <f t="shared" si="0"/>
        <v>7</v>
      </c>
      <c r="B8" s="6" t="s">
        <v>30</v>
      </c>
      <c r="C8" s="6" t="s">
        <v>10</v>
      </c>
      <c r="D8" s="6" t="s">
        <v>31</v>
      </c>
      <c r="E8" s="6" t="s">
        <v>32</v>
      </c>
      <c r="F8" s="7" t="s">
        <v>33</v>
      </c>
      <c r="G8" s="6"/>
      <c r="H8" s="6"/>
      <c r="I8" s="6" t="s">
        <v>34</v>
      </c>
      <c r="J8" s="6" t="s">
        <v>35</v>
      </c>
      <c r="K8" s="6" t="s">
        <v>16</v>
      </c>
      <c r="L8" s="6" t="s">
        <v>16</v>
      </c>
    </row>
    <row r="9" spans="1:12" ht="78.599999999999994" customHeight="1" x14ac:dyDescent="0.25">
      <c r="A9" s="6">
        <f t="shared" si="0"/>
        <v>8</v>
      </c>
      <c r="B9" s="6" t="s">
        <v>36</v>
      </c>
      <c r="C9" s="6" t="s">
        <v>10</v>
      </c>
      <c r="D9" s="6" t="s">
        <v>25</v>
      </c>
      <c r="E9" s="6" t="s">
        <v>26</v>
      </c>
      <c r="F9" s="7">
        <v>94.9</v>
      </c>
      <c r="G9" s="6"/>
      <c r="H9" s="6"/>
      <c r="I9" s="6" t="s">
        <v>34</v>
      </c>
      <c r="J9" s="6" t="s">
        <v>35</v>
      </c>
      <c r="K9" s="6" t="s">
        <v>16</v>
      </c>
      <c r="L9" s="6" t="s">
        <v>16</v>
      </c>
    </row>
    <row r="10" spans="1:12" ht="78.599999999999994" customHeight="1" x14ac:dyDescent="0.25">
      <c r="A10" s="6">
        <f t="shared" si="0"/>
        <v>9</v>
      </c>
      <c r="B10" s="6" t="s">
        <v>37</v>
      </c>
      <c r="C10" s="6" t="s">
        <v>38</v>
      </c>
      <c r="D10" s="6" t="s">
        <v>25</v>
      </c>
      <c r="E10" s="6" t="s">
        <v>26</v>
      </c>
      <c r="F10" s="7" t="s">
        <v>27</v>
      </c>
      <c r="G10" s="6"/>
      <c r="H10" s="6"/>
      <c r="I10" s="6" t="s">
        <v>34</v>
      </c>
      <c r="J10" s="6" t="s">
        <v>35</v>
      </c>
      <c r="K10" s="6" t="s">
        <v>16</v>
      </c>
      <c r="L10" s="6" t="s">
        <v>16</v>
      </c>
    </row>
    <row r="11" spans="1:12" ht="78.599999999999994" customHeight="1" x14ac:dyDescent="0.25">
      <c r="A11" s="6">
        <f t="shared" si="0"/>
        <v>10</v>
      </c>
      <c r="B11" s="6" t="s">
        <v>39</v>
      </c>
      <c r="C11" s="6" t="s">
        <v>38</v>
      </c>
      <c r="D11" s="6" t="s">
        <v>25</v>
      </c>
      <c r="E11" s="6" t="s">
        <v>26</v>
      </c>
      <c r="F11" s="7" t="s">
        <v>27</v>
      </c>
      <c r="G11" s="6"/>
      <c r="H11" s="6"/>
      <c r="I11" s="6" t="s">
        <v>28</v>
      </c>
      <c r="J11" s="6" t="s">
        <v>40</v>
      </c>
      <c r="K11" s="6" t="s">
        <v>16</v>
      </c>
      <c r="L11" s="6" t="s">
        <v>16</v>
      </c>
    </row>
    <row r="12" spans="1:12" ht="78.599999999999994" customHeight="1" x14ac:dyDescent="0.25">
      <c r="A12" s="6">
        <f t="shared" si="0"/>
        <v>11</v>
      </c>
      <c r="B12" s="6" t="s">
        <v>41</v>
      </c>
      <c r="C12" s="6" t="s">
        <v>38</v>
      </c>
      <c r="D12" s="6" t="s">
        <v>25</v>
      </c>
      <c r="E12" s="6" t="s">
        <v>26</v>
      </c>
      <c r="F12" s="7" t="s">
        <v>27</v>
      </c>
      <c r="G12" s="6"/>
      <c r="H12" s="6"/>
      <c r="I12" s="6" t="s">
        <v>28</v>
      </c>
      <c r="J12" s="6" t="s">
        <v>40</v>
      </c>
      <c r="K12" s="6" t="s">
        <v>16</v>
      </c>
      <c r="L12" s="6" t="s">
        <v>16</v>
      </c>
    </row>
    <row r="13" spans="1:12" ht="91.5" customHeight="1" x14ac:dyDescent="0.25">
      <c r="A13" s="6">
        <f t="shared" si="0"/>
        <v>12</v>
      </c>
      <c r="B13" s="6" t="s">
        <v>42</v>
      </c>
      <c r="C13" s="6" t="s">
        <v>10</v>
      </c>
      <c r="D13" s="6" t="s">
        <v>11</v>
      </c>
      <c r="E13" s="6" t="s">
        <v>18</v>
      </c>
      <c r="F13" s="7" t="s">
        <v>19</v>
      </c>
      <c r="G13" s="6"/>
      <c r="H13" s="6"/>
      <c r="I13" s="6" t="s">
        <v>14</v>
      </c>
      <c r="J13" s="6" t="s">
        <v>43</v>
      </c>
      <c r="K13" s="6" t="s">
        <v>16</v>
      </c>
      <c r="L13" s="6" t="s">
        <v>16</v>
      </c>
    </row>
    <row r="14" spans="1:12" ht="53.1" customHeight="1" x14ac:dyDescent="0.25">
      <c r="A14" s="8">
        <v>13</v>
      </c>
      <c r="B14" s="8" t="s">
        <v>44</v>
      </c>
      <c r="C14" s="8" t="s">
        <v>10</v>
      </c>
      <c r="D14" s="8" t="s">
        <v>45</v>
      </c>
      <c r="E14" s="6" t="s">
        <v>46</v>
      </c>
      <c r="F14" s="7">
        <v>36</v>
      </c>
      <c r="G14" s="8"/>
      <c r="H14" s="8"/>
      <c r="I14" s="8" t="s">
        <v>14</v>
      </c>
      <c r="J14" s="8" t="s">
        <v>47</v>
      </c>
      <c r="K14" s="8" t="s">
        <v>16</v>
      </c>
      <c r="L14" s="8" t="s">
        <v>16</v>
      </c>
    </row>
    <row r="15" spans="1:12" ht="51.75" x14ac:dyDescent="0.25">
      <c r="A15" s="8">
        <v>13</v>
      </c>
      <c r="B15" s="8" t="s">
        <v>44</v>
      </c>
      <c r="C15" s="8" t="s">
        <v>10</v>
      </c>
      <c r="D15" s="8" t="s">
        <v>45</v>
      </c>
      <c r="E15" s="9" t="s">
        <v>48</v>
      </c>
      <c r="F15" s="10">
        <v>37</v>
      </c>
      <c r="G15" s="11"/>
      <c r="H15" s="11"/>
      <c r="I15" s="8" t="s">
        <v>14</v>
      </c>
      <c r="J15" s="8" t="s">
        <v>47</v>
      </c>
      <c r="K15" s="8" t="s">
        <v>16</v>
      </c>
      <c r="L15" s="8" t="s">
        <v>16</v>
      </c>
    </row>
    <row r="16" spans="1:12" ht="51.75" x14ac:dyDescent="0.25">
      <c r="A16" s="6">
        <v>14</v>
      </c>
      <c r="B16" s="6" t="s">
        <v>49</v>
      </c>
      <c r="C16" s="6" t="s">
        <v>10</v>
      </c>
      <c r="D16" s="6" t="s">
        <v>50</v>
      </c>
      <c r="E16" s="6" t="s">
        <v>51</v>
      </c>
      <c r="F16" s="7" t="s">
        <v>52</v>
      </c>
      <c r="G16" s="6" t="s">
        <v>53</v>
      </c>
      <c r="H16" s="6" t="s">
        <v>54</v>
      </c>
      <c r="I16" s="6"/>
      <c r="J16" s="6"/>
      <c r="K16" s="6" t="s">
        <v>16</v>
      </c>
      <c r="L16" s="6" t="s">
        <v>16</v>
      </c>
    </row>
    <row r="17" spans="1:12" ht="26.25" x14ac:dyDescent="0.25">
      <c r="A17" s="6">
        <f t="shared" si="0"/>
        <v>15</v>
      </c>
      <c r="B17" s="6" t="s">
        <v>55</v>
      </c>
      <c r="C17" s="6" t="s">
        <v>38</v>
      </c>
      <c r="D17" s="6" t="s">
        <v>25</v>
      </c>
      <c r="E17" s="6" t="s">
        <v>26</v>
      </c>
      <c r="F17" s="7" t="s">
        <v>27</v>
      </c>
      <c r="G17" s="6"/>
      <c r="H17" s="6"/>
      <c r="I17" s="6"/>
      <c r="J17" s="6"/>
      <c r="K17" s="6" t="s">
        <v>16</v>
      </c>
      <c r="L17" s="6" t="s">
        <v>16</v>
      </c>
    </row>
    <row r="18" spans="1:12" ht="39" x14ac:dyDescent="0.25">
      <c r="A18" s="6">
        <f t="shared" si="0"/>
        <v>16</v>
      </c>
      <c r="B18" s="6" t="s">
        <v>56</v>
      </c>
      <c r="C18" s="6" t="s">
        <v>38</v>
      </c>
      <c r="D18" s="6" t="s">
        <v>57</v>
      </c>
      <c r="E18" s="6" t="s">
        <v>58</v>
      </c>
      <c r="F18" s="7" t="s">
        <v>59</v>
      </c>
      <c r="G18" s="6"/>
      <c r="H18" s="6"/>
      <c r="I18" s="6"/>
      <c r="J18" s="6"/>
      <c r="K18" s="6" t="s">
        <v>60</v>
      </c>
      <c r="L18" s="6" t="s">
        <v>16</v>
      </c>
    </row>
    <row r="19" spans="1:12" ht="77.25" x14ac:dyDescent="0.25">
      <c r="A19" s="6">
        <f t="shared" si="0"/>
        <v>17</v>
      </c>
      <c r="B19" s="6" t="s">
        <v>61</v>
      </c>
      <c r="C19" s="6" t="s">
        <v>10</v>
      </c>
      <c r="D19" s="6" t="s">
        <v>57</v>
      </c>
      <c r="E19" s="6" t="s">
        <v>62</v>
      </c>
      <c r="F19" s="7" t="s">
        <v>63</v>
      </c>
      <c r="G19" s="6" t="s">
        <v>64</v>
      </c>
      <c r="H19" s="6" t="s">
        <v>65</v>
      </c>
      <c r="I19" s="6"/>
      <c r="J19" s="6"/>
      <c r="K19" s="6" t="s">
        <v>60</v>
      </c>
      <c r="L19" s="6" t="s">
        <v>16</v>
      </c>
    </row>
    <row r="20" spans="1:12" ht="39.6" customHeight="1" x14ac:dyDescent="0.25">
      <c r="A20" s="8">
        <v>18</v>
      </c>
      <c r="B20" s="8" t="s">
        <v>66</v>
      </c>
      <c r="C20" s="8" t="s">
        <v>38</v>
      </c>
      <c r="D20" s="6" t="s">
        <v>67</v>
      </c>
      <c r="E20" s="6" t="s">
        <v>68</v>
      </c>
      <c r="F20" s="7">
        <v>41</v>
      </c>
      <c r="G20" s="8"/>
      <c r="H20" s="8"/>
      <c r="I20" s="8"/>
      <c r="J20" s="8"/>
      <c r="K20" s="6" t="s">
        <v>60</v>
      </c>
      <c r="L20" s="6" t="s">
        <v>16</v>
      </c>
    </row>
    <row r="21" spans="1:12" ht="51.75" x14ac:dyDescent="0.25">
      <c r="A21" s="8">
        <v>18</v>
      </c>
      <c r="B21" s="8" t="s">
        <v>66</v>
      </c>
      <c r="C21" s="8" t="s">
        <v>38</v>
      </c>
      <c r="D21" s="6" t="s">
        <v>57</v>
      </c>
      <c r="E21" s="6" t="s">
        <v>69</v>
      </c>
      <c r="F21" s="7" t="s">
        <v>70</v>
      </c>
      <c r="G21" s="11"/>
      <c r="H21" s="11"/>
      <c r="I21" s="11"/>
      <c r="J21" s="11"/>
      <c r="K21" s="6" t="s">
        <v>60</v>
      </c>
      <c r="L21" s="6" t="s">
        <v>16</v>
      </c>
    </row>
    <row r="22" spans="1:12" ht="51.75" x14ac:dyDescent="0.25">
      <c r="A22" s="6">
        <v>19</v>
      </c>
      <c r="B22" s="6" t="s">
        <v>71</v>
      </c>
      <c r="C22" s="6" t="s">
        <v>38</v>
      </c>
      <c r="D22" s="6" t="s">
        <v>72</v>
      </c>
      <c r="E22" s="6" t="s">
        <v>73</v>
      </c>
      <c r="F22" s="7" t="s">
        <v>74</v>
      </c>
      <c r="G22" s="6"/>
      <c r="H22" s="6"/>
      <c r="I22" s="6" t="s">
        <v>14</v>
      </c>
      <c r="J22" s="6" t="s">
        <v>47</v>
      </c>
      <c r="K22" s="6" t="s">
        <v>60</v>
      </c>
      <c r="L22" s="6" t="s">
        <v>16</v>
      </c>
    </row>
    <row r="23" spans="1:12" ht="64.5" x14ac:dyDescent="0.25">
      <c r="A23" s="6">
        <f t="shared" si="0"/>
        <v>20</v>
      </c>
      <c r="B23" s="6" t="s">
        <v>75</v>
      </c>
      <c r="C23" s="6" t="s">
        <v>10</v>
      </c>
      <c r="D23" s="6" t="s">
        <v>11</v>
      </c>
      <c r="E23" s="6" t="s">
        <v>12</v>
      </c>
      <c r="F23" s="7" t="s">
        <v>13</v>
      </c>
      <c r="G23" s="6"/>
      <c r="H23" s="6"/>
      <c r="I23" s="6" t="s">
        <v>14</v>
      </c>
      <c r="J23" s="6" t="s">
        <v>47</v>
      </c>
      <c r="K23" s="6" t="s">
        <v>16</v>
      </c>
      <c r="L23" s="6" t="s">
        <v>16</v>
      </c>
    </row>
    <row r="24" spans="1:12" ht="64.5" x14ac:dyDescent="0.25">
      <c r="A24" s="6">
        <f t="shared" si="0"/>
        <v>21</v>
      </c>
      <c r="B24" s="6" t="s">
        <v>76</v>
      </c>
      <c r="C24" s="6" t="s">
        <v>10</v>
      </c>
      <c r="D24" s="6" t="s">
        <v>11</v>
      </c>
      <c r="E24" s="6" t="s">
        <v>12</v>
      </c>
      <c r="F24" s="7" t="s">
        <v>13</v>
      </c>
      <c r="G24" s="6"/>
      <c r="H24" s="6"/>
      <c r="I24" s="6" t="s">
        <v>14</v>
      </c>
      <c r="J24" s="6" t="s">
        <v>47</v>
      </c>
      <c r="K24" s="6" t="s">
        <v>16</v>
      </c>
      <c r="L24" s="6" t="s">
        <v>16</v>
      </c>
    </row>
    <row r="25" spans="1:12" ht="39" x14ac:dyDescent="0.25">
      <c r="A25" s="6">
        <f t="shared" si="0"/>
        <v>22</v>
      </c>
      <c r="B25" s="6" t="s">
        <v>77</v>
      </c>
      <c r="C25" s="6" t="s">
        <v>38</v>
      </c>
      <c r="D25" s="6" t="s">
        <v>57</v>
      </c>
      <c r="E25" s="6" t="s">
        <v>58</v>
      </c>
      <c r="F25" s="7" t="s">
        <v>59</v>
      </c>
      <c r="G25" s="6"/>
      <c r="H25" s="6"/>
      <c r="I25" s="6"/>
      <c r="J25" s="6"/>
      <c r="K25" s="6" t="s">
        <v>60</v>
      </c>
      <c r="L25" s="6" t="s">
        <v>16</v>
      </c>
    </row>
    <row r="26" spans="1:12" ht="39" x14ac:dyDescent="0.25">
      <c r="A26" s="6">
        <f t="shared" si="0"/>
        <v>23</v>
      </c>
      <c r="B26" s="6" t="s">
        <v>78</v>
      </c>
      <c r="C26" s="6" t="s">
        <v>38</v>
      </c>
      <c r="D26" s="6" t="s">
        <v>57</v>
      </c>
      <c r="E26" s="6" t="s">
        <v>58</v>
      </c>
      <c r="F26" s="7" t="s">
        <v>59</v>
      </c>
      <c r="G26" s="6"/>
      <c r="H26" s="6"/>
      <c r="I26" s="6"/>
      <c r="J26" s="6"/>
      <c r="K26" s="6" t="s">
        <v>60</v>
      </c>
      <c r="L26" s="6" t="s">
        <v>16</v>
      </c>
    </row>
    <row r="27" spans="1:12" ht="77.25" x14ac:dyDescent="0.25">
      <c r="A27" s="6">
        <f t="shared" si="0"/>
        <v>24</v>
      </c>
      <c r="B27" s="6" t="s">
        <v>79</v>
      </c>
      <c r="C27" s="6" t="s">
        <v>10</v>
      </c>
      <c r="D27" s="6" t="s">
        <v>50</v>
      </c>
      <c r="E27" s="6" t="s">
        <v>51</v>
      </c>
      <c r="F27" s="7" t="s">
        <v>52</v>
      </c>
      <c r="G27" s="6" t="s">
        <v>80</v>
      </c>
      <c r="H27" s="6" t="s">
        <v>81</v>
      </c>
      <c r="I27" s="6"/>
      <c r="J27" s="6"/>
      <c r="K27" s="6" t="s">
        <v>16</v>
      </c>
      <c r="L27" s="6" t="s">
        <v>16</v>
      </c>
    </row>
    <row r="28" spans="1:12" ht="64.5" x14ac:dyDescent="0.25">
      <c r="A28" s="6">
        <f t="shared" si="0"/>
        <v>25</v>
      </c>
      <c r="B28" s="6" t="s">
        <v>82</v>
      </c>
      <c r="C28" s="6" t="s">
        <v>38</v>
      </c>
      <c r="D28" s="6" t="s">
        <v>25</v>
      </c>
      <c r="E28" s="6" t="s">
        <v>26</v>
      </c>
      <c r="F28" s="7" t="s">
        <v>27</v>
      </c>
      <c r="G28" s="6"/>
      <c r="H28" s="6"/>
      <c r="I28" s="6" t="s">
        <v>28</v>
      </c>
      <c r="J28" s="6" t="s">
        <v>40</v>
      </c>
      <c r="K28" s="6" t="s">
        <v>16</v>
      </c>
      <c r="L28" s="6" t="s">
        <v>16</v>
      </c>
    </row>
    <row r="29" spans="1:12" ht="91.5" customHeight="1" x14ac:dyDescent="0.25">
      <c r="A29" s="6">
        <f t="shared" si="0"/>
        <v>26</v>
      </c>
      <c r="B29" s="6" t="s">
        <v>83</v>
      </c>
      <c r="C29" s="6" t="s">
        <v>38</v>
      </c>
      <c r="D29" s="6" t="s">
        <v>25</v>
      </c>
      <c r="E29" s="6" t="s">
        <v>26</v>
      </c>
      <c r="F29" s="7" t="s">
        <v>27</v>
      </c>
      <c r="G29" s="6"/>
      <c r="H29" s="6"/>
      <c r="I29" s="6" t="s">
        <v>28</v>
      </c>
      <c r="J29" s="6" t="s">
        <v>40</v>
      </c>
      <c r="K29" s="6" t="s">
        <v>60</v>
      </c>
      <c r="L29" s="6" t="s">
        <v>16</v>
      </c>
    </row>
    <row r="30" spans="1:12" ht="78.599999999999994" customHeight="1" x14ac:dyDescent="0.25">
      <c r="A30" s="6">
        <f t="shared" si="0"/>
        <v>27</v>
      </c>
      <c r="B30" s="6" t="s">
        <v>84</v>
      </c>
      <c r="C30" s="6" t="s">
        <v>38</v>
      </c>
      <c r="D30" s="6" t="s">
        <v>25</v>
      </c>
      <c r="E30" s="6" t="s">
        <v>26</v>
      </c>
      <c r="F30" s="7" t="s">
        <v>27</v>
      </c>
      <c r="G30" s="6"/>
      <c r="H30" s="6"/>
      <c r="I30" s="6" t="s">
        <v>28</v>
      </c>
      <c r="J30" s="6" t="s">
        <v>40</v>
      </c>
      <c r="K30" s="6" t="s">
        <v>60</v>
      </c>
      <c r="L30" s="6" t="s">
        <v>16</v>
      </c>
    </row>
    <row r="31" spans="1:12" ht="78.599999999999994" customHeight="1" x14ac:dyDescent="0.25">
      <c r="A31" s="6">
        <f t="shared" si="0"/>
        <v>28</v>
      </c>
      <c r="B31" s="6" t="s">
        <v>85</v>
      </c>
      <c r="C31" s="6" t="s">
        <v>10</v>
      </c>
      <c r="D31" s="6" t="s">
        <v>25</v>
      </c>
      <c r="E31" s="6" t="s">
        <v>26</v>
      </c>
      <c r="F31" s="7" t="s">
        <v>27</v>
      </c>
      <c r="G31" s="6"/>
      <c r="H31" s="6"/>
      <c r="I31" s="6" t="s">
        <v>34</v>
      </c>
      <c r="J31" s="6" t="s">
        <v>35</v>
      </c>
      <c r="K31" s="6" t="s">
        <v>60</v>
      </c>
      <c r="L31" s="6" t="s">
        <v>16</v>
      </c>
    </row>
    <row r="32" spans="1:12" ht="78.599999999999994" customHeight="1" x14ac:dyDescent="0.25">
      <c r="A32" s="6">
        <f t="shared" si="0"/>
        <v>29</v>
      </c>
      <c r="B32" s="6" t="s">
        <v>86</v>
      </c>
      <c r="C32" s="6" t="s">
        <v>38</v>
      </c>
      <c r="D32" s="6" t="s">
        <v>25</v>
      </c>
      <c r="E32" s="6" t="s">
        <v>26</v>
      </c>
      <c r="F32" s="7" t="s">
        <v>27</v>
      </c>
      <c r="G32" s="6"/>
      <c r="H32" s="6"/>
      <c r="I32" s="6" t="s">
        <v>34</v>
      </c>
      <c r="J32" s="6" t="s">
        <v>35</v>
      </c>
      <c r="K32" s="6" t="s">
        <v>16</v>
      </c>
      <c r="L32" s="6" t="s">
        <v>16</v>
      </c>
    </row>
    <row r="33" spans="1:12" ht="78.599999999999994" customHeight="1" x14ac:dyDescent="0.25">
      <c r="A33" s="6">
        <f t="shared" si="0"/>
        <v>30</v>
      </c>
      <c r="B33" s="6" t="s">
        <v>87</v>
      </c>
      <c r="C33" s="6" t="s">
        <v>38</v>
      </c>
      <c r="D33" s="6" t="s">
        <v>25</v>
      </c>
      <c r="E33" s="6" t="s">
        <v>26</v>
      </c>
      <c r="F33" s="7" t="s">
        <v>27</v>
      </c>
      <c r="G33" s="6"/>
      <c r="H33" s="6"/>
      <c r="I33" s="6" t="s">
        <v>34</v>
      </c>
      <c r="J33" s="6" t="s">
        <v>35</v>
      </c>
      <c r="K33" s="6" t="s">
        <v>60</v>
      </c>
      <c r="L33" s="6" t="s">
        <v>16</v>
      </c>
    </row>
    <row r="34" spans="1:12" ht="52.5" customHeight="1" x14ac:dyDescent="0.25">
      <c r="A34" s="6">
        <f t="shared" si="0"/>
        <v>31</v>
      </c>
      <c r="B34" s="6" t="s">
        <v>88</v>
      </c>
      <c r="C34" s="6" t="s">
        <v>38</v>
      </c>
      <c r="D34" s="6" t="s">
        <v>50</v>
      </c>
      <c r="E34" s="6" t="s">
        <v>51</v>
      </c>
      <c r="F34" s="7" t="s">
        <v>52</v>
      </c>
      <c r="G34" s="6" t="s">
        <v>53</v>
      </c>
      <c r="H34" s="6" t="s">
        <v>89</v>
      </c>
      <c r="I34" s="6"/>
      <c r="J34" s="6"/>
      <c r="K34" s="6" t="s">
        <v>16</v>
      </c>
      <c r="L34" s="6" t="s">
        <v>16</v>
      </c>
    </row>
    <row r="35" spans="1:12" ht="44.1" customHeight="1" x14ac:dyDescent="0.25">
      <c r="A35" s="6">
        <f t="shared" si="0"/>
        <v>32</v>
      </c>
      <c r="B35" s="6" t="s">
        <v>90</v>
      </c>
      <c r="C35" s="6" t="s">
        <v>38</v>
      </c>
      <c r="D35" s="6" t="s">
        <v>91</v>
      </c>
      <c r="E35" s="6" t="s">
        <v>92</v>
      </c>
      <c r="F35" s="7" t="s">
        <v>93</v>
      </c>
      <c r="G35" s="6"/>
      <c r="H35" s="6"/>
      <c r="I35" s="6"/>
      <c r="J35" s="6"/>
      <c r="K35" s="6" t="s">
        <v>16</v>
      </c>
      <c r="L35" s="6" t="s">
        <v>16</v>
      </c>
    </row>
  </sheetData>
  <phoneticPr fontId="6" type="noConversion"/>
  <hyperlinks>
    <hyperlink ref="C87" r:id="rId1" display="https://nacev2.com/en" xr:uid="{553080D8-0247-4BA9-9F21-B7AD15B3686D}"/>
    <hyperlink ref="C88" r:id="rId2" display="https://www.oecd.org/science/inno/38235147.pdf" xr:uid="{B919EB15-F9A4-4A76-8B72-C132B9F6D180}"/>
    <hyperlink ref="C89" r:id="rId3" display="https://www.alnap.org/help-library/the-humanitarian-decision-makers-taxonomy" xr:uid="{081FECF6-F8AD-4D62-BB27-D7B3EDDE5E16}"/>
    <hyperlink ref="C90" r:id="rId4" display="https://ec.europa.eu/eurostat/web/nuts/background" xr:uid="{C1151F07-63E8-49BC-8DE8-EDD0387DB7FB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CD24-E3D0-4C88-949C-24E70E6718A5}">
  <dimension ref="A1:AR86"/>
  <sheetViews>
    <sheetView tabSelected="1" topLeftCell="A51" workbookViewId="0">
      <selection activeCell="G59" sqref="G59"/>
    </sheetView>
  </sheetViews>
  <sheetFormatPr defaultRowHeight="15" x14ac:dyDescent="0.25"/>
  <cols>
    <col min="1" max="1" width="3" bestFit="1" customWidth="1"/>
    <col min="2" max="2" width="24.7109375" customWidth="1"/>
    <col min="3" max="3" width="13.5703125" customWidth="1"/>
    <col min="4" max="4" width="23.140625" customWidth="1"/>
    <col min="5" max="5" width="15" customWidth="1"/>
    <col min="6" max="6" width="21.28515625" customWidth="1"/>
    <col min="7" max="7" width="14.7109375" customWidth="1"/>
    <col min="8" max="8" width="13.140625" customWidth="1"/>
  </cols>
  <sheetData>
    <row r="1" spans="1:12" ht="64.5" x14ac:dyDescent="0.25">
      <c r="A1" s="1" t="s">
        <v>0</v>
      </c>
      <c r="B1" s="1" t="s">
        <v>1</v>
      </c>
      <c r="C1" s="1" t="s">
        <v>2</v>
      </c>
      <c r="D1" s="2" t="s">
        <v>94</v>
      </c>
      <c r="E1" s="2" t="s">
        <v>3</v>
      </c>
      <c r="F1" s="2" t="s">
        <v>4</v>
      </c>
      <c r="G1" s="3" t="s">
        <v>95</v>
      </c>
      <c r="H1" s="3" t="s">
        <v>96</v>
      </c>
      <c r="I1" s="4" t="s">
        <v>5</v>
      </c>
      <c r="J1" s="4" t="s">
        <v>6</v>
      </c>
      <c r="K1" s="1" t="s">
        <v>7</v>
      </c>
      <c r="L1" s="1" t="s">
        <v>8</v>
      </c>
    </row>
    <row r="2" spans="1:12" ht="39" x14ac:dyDescent="0.25">
      <c r="A2" s="6">
        <v>1</v>
      </c>
      <c r="B2" s="6" t="s">
        <v>97</v>
      </c>
      <c r="C2" s="6" t="s">
        <v>98</v>
      </c>
      <c r="D2" s="6" t="s">
        <v>11</v>
      </c>
      <c r="E2" s="6" t="s">
        <v>18</v>
      </c>
      <c r="F2" s="6">
        <v>84.11</v>
      </c>
      <c r="G2" s="6"/>
      <c r="H2" s="6"/>
      <c r="I2" s="6" t="s">
        <v>14</v>
      </c>
      <c r="J2" s="6" t="s">
        <v>100</v>
      </c>
      <c r="K2" s="6" t="s">
        <v>16</v>
      </c>
      <c r="L2" s="6" t="s">
        <v>16</v>
      </c>
    </row>
    <row r="3" spans="1:12" ht="39" x14ac:dyDescent="0.25">
      <c r="A3" s="77">
        <f>A2+1</f>
        <v>2</v>
      </c>
      <c r="B3" s="77" t="s">
        <v>101</v>
      </c>
      <c r="C3" s="77" t="s">
        <v>98</v>
      </c>
      <c r="D3" s="77" t="s">
        <v>102</v>
      </c>
      <c r="E3" s="77" t="s">
        <v>103</v>
      </c>
      <c r="F3" s="77">
        <v>52.2</v>
      </c>
      <c r="G3" s="77"/>
      <c r="H3" s="77"/>
      <c r="I3" s="77" t="s">
        <v>104</v>
      </c>
      <c r="J3" s="77"/>
      <c r="K3" s="77" t="s">
        <v>16</v>
      </c>
      <c r="L3" s="77" t="s">
        <v>16</v>
      </c>
    </row>
    <row r="4" spans="1:12" ht="39" x14ac:dyDescent="0.25">
      <c r="A4" s="6">
        <f t="shared" ref="A4:A32" si="0">A3+1</f>
        <v>3</v>
      </c>
      <c r="B4" s="6" t="s">
        <v>105</v>
      </c>
      <c r="C4" s="6" t="s">
        <v>98</v>
      </c>
      <c r="D4" s="38" t="s">
        <v>102</v>
      </c>
      <c r="E4" s="6" t="s">
        <v>103</v>
      </c>
      <c r="F4" s="6">
        <v>52.2</v>
      </c>
      <c r="G4" s="38"/>
      <c r="H4" s="6"/>
      <c r="I4" s="6"/>
      <c r="J4" s="6"/>
      <c r="K4" s="6" t="s">
        <v>16</v>
      </c>
      <c r="L4" s="6" t="s">
        <v>16</v>
      </c>
    </row>
    <row r="5" spans="1:12" ht="39" x14ac:dyDescent="0.25">
      <c r="A5" s="6">
        <f t="shared" si="0"/>
        <v>4</v>
      </c>
      <c r="B5" s="6" t="s">
        <v>106</v>
      </c>
      <c r="C5" s="6" t="s">
        <v>98</v>
      </c>
      <c r="D5" s="6" t="s">
        <v>102</v>
      </c>
      <c r="E5" s="6" t="s">
        <v>103</v>
      </c>
      <c r="F5" s="6">
        <v>52.2</v>
      </c>
      <c r="G5" s="6"/>
      <c r="H5" s="6"/>
      <c r="I5" s="6"/>
      <c r="J5" s="6"/>
      <c r="K5" s="6" t="s">
        <v>16</v>
      </c>
      <c r="L5" s="6" t="s">
        <v>16</v>
      </c>
    </row>
    <row r="6" spans="1:12" ht="77.25" x14ac:dyDescent="0.25">
      <c r="A6" s="6">
        <f t="shared" si="0"/>
        <v>5</v>
      </c>
      <c r="B6" s="6" t="s">
        <v>107</v>
      </c>
      <c r="C6" s="6" t="s">
        <v>38</v>
      </c>
      <c r="D6" s="6" t="s">
        <v>108</v>
      </c>
      <c r="E6" s="6" t="s">
        <v>109</v>
      </c>
      <c r="F6" s="6" t="s">
        <v>110</v>
      </c>
      <c r="G6" s="6"/>
      <c r="H6" s="6"/>
      <c r="I6" s="6" t="s">
        <v>14</v>
      </c>
      <c r="J6" s="6" t="s">
        <v>111</v>
      </c>
      <c r="K6" s="6" t="s">
        <v>16</v>
      </c>
      <c r="L6" s="6" t="s">
        <v>16</v>
      </c>
    </row>
    <row r="7" spans="1:12" ht="90" x14ac:dyDescent="0.25">
      <c r="A7" s="6">
        <f t="shared" si="0"/>
        <v>6</v>
      </c>
      <c r="B7" s="6" t="s">
        <v>112</v>
      </c>
      <c r="C7" s="6" t="s">
        <v>10</v>
      </c>
      <c r="D7" s="6" t="s">
        <v>11</v>
      </c>
      <c r="E7" s="6" t="s">
        <v>18</v>
      </c>
      <c r="F7" s="6" t="s">
        <v>19</v>
      </c>
      <c r="G7" s="6"/>
      <c r="H7" s="6"/>
      <c r="I7" s="6" t="s">
        <v>14</v>
      </c>
      <c r="J7" s="6" t="s">
        <v>20</v>
      </c>
      <c r="K7" s="6" t="s">
        <v>16</v>
      </c>
      <c r="L7" s="6" t="s">
        <v>16</v>
      </c>
    </row>
    <row r="8" spans="1:12" ht="115.5" x14ac:dyDescent="0.25">
      <c r="A8" s="6">
        <f t="shared" si="0"/>
        <v>7</v>
      </c>
      <c r="B8" s="6" t="s">
        <v>113</v>
      </c>
      <c r="C8" s="6" t="s">
        <v>10</v>
      </c>
      <c r="D8" s="6" t="s">
        <v>50</v>
      </c>
      <c r="E8" s="6" t="s">
        <v>51</v>
      </c>
      <c r="F8" s="6" t="s">
        <v>52</v>
      </c>
      <c r="G8" s="6" t="s">
        <v>80</v>
      </c>
      <c r="H8" s="6" t="s">
        <v>81</v>
      </c>
      <c r="I8" s="6" t="s">
        <v>14</v>
      </c>
      <c r="J8" s="6" t="s">
        <v>114</v>
      </c>
      <c r="K8" s="6" t="s">
        <v>16</v>
      </c>
      <c r="L8" s="6" t="s">
        <v>16</v>
      </c>
    </row>
    <row r="9" spans="1:12" ht="90" x14ac:dyDescent="0.25">
      <c r="A9" s="6">
        <f t="shared" si="0"/>
        <v>8</v>
      </c>
      <c r="B9" s="6" t="s">
        <v>115</v>
      </c>
      <c r="C9" s="6" t="s">
        <v>10</v>
      </c>
      <c r="D9" s="6" t="s">
        <v>57</v>
      </c>
      <c r="E9" s="6" t="s">
        <v>116</v>
      </c>
      <c r="F9" s="6">
        <v>72</v>
      </c>
      <c r="G9" s="6" t="s">
        <v>53</v>
      </c>
      <c r="H9" s="6" t="s">
        <v>117</v>
      </c>
      <c r="I9" s="6" t="s">
        <v>118</v>
      </c>
      <c r="J9" s="6" t="s">
        <v>119</v>
      </c>
      <c r="K9" s="6" t="s">
        <v>16</v>
      </c>
      <c r="L9" s="6" t="s">
        <v>16</v>
      </c>
    </row>
    <row r="10" spans="1:12" ht="115.5" x14ac:dyDescent="0.25">
      <c r="A10" s="6">
        <f t="shared" si="0"/>
        <v>9</v>
      </c>
      <c r="B10" s="6" t="s">
        <v>120</v>
      </c>
      <c r="C10" s="6" t="s">
        <v>121</v>
      </c>
      <c r="D10" s="6" t="s">
        <v>122</v>
      </c>
      <c r="E10" s="6" t="s">
        <v>123</v>
      </c>
      <c r="F10" s="6">
        <v>38</v>
      </c>
      <c r="G10" s="38" t="s">
        <v>80</v>
      </c>
      <c r="H10" s="38" t="s">
        <v>124</v>
      </c>
      <c r="I10" s="6" t="s">
        <v>104</v>
      </c>
      <c r="J10" s="6" t="s">
        <v>125</v>
      </c>
      <c r="K10" s="6" t="s">
        <v>16</v>
      </c>
      <c r="L10" s="6" t="s">
        <v>16</v>
      </c>
    </row>
    <row r="11" spans="1:12" ht="165" x14ac:dyDescent="0.25">
      <c r="A11" s="6">
        <f t="shared" si="0"/>
        <v>10</v>
      </c>
      <c r="B11" s="6" t="s">
        <v>126</v>
      </c>
      <c r="C11" s="6" t="s">
        <v>38</v>
      </c>
      <c r="D11" s="6" t="s">
        <v>122</v>
      </c>
      <c r="E11" s="38" t="s">
        <v>123</v>
      </c>
      <c r="F11" s="38">
        <v>38</v>
      </c>
      <c r="G11" s="38" t="s">
        <v>80</v>
      </c>
      <c r="H11" s="38" t="s">
        <v>124</v>
      </c>
      <c r="I11" s="6" t="s">
        <v>104</v>
      </c>
      <c r="J11" s="6" t="s">
        <v>125</v>
      </c>
      <c r="K11" s="6" t="s">
        <v>16</v>
      </c>
      <c r="L11" s="6" t="s">
        <v>16</v>
      </c>
    </row>
    <row r="12" spans="1:12" ht="90" x14ac:dyDescent="0.25">
      <c r="A12" s="6">
        <f t="shared" si="0"/>
        <v>11</v>
      </c>
      <c r="B12" s="6" t="s">
        <v>127</v>
      </c>
      <c r="C12" s="6" t="s">
        <v>38</v>
      </c>
      <c r="D12" s="6" t="s">
        <v>128</v>
      </c>
      <c r="E12" s="6" t="s">
        <v>103</v>
      </c>
      <c r="F12" s="6" t="s">
        <v>129</v>
      </c>
      <c r="G12" s="38"/>
      <c r="H12" s="38"/>
      <c r="I12" s="6" t="s">
        <v>14</v>
      </c>
      <c r="J12" s="6" t="s">
        <v>130</v>
      </c>
      <c r="K12" s="6" t="s">
        <v>16</v>
      </c>
      <c r="L12" s="6" t="s">
        <v>16</v>
      </c>
    </row>
    <row r="13" spans="1:12" ht="90" x14ac:dyDescent="0.25">
      <c r="A13" s="6">
        <f t="shared" si="0"/>
        <v>12</v>
      </c>
      <c r="B13" s="6" t="s">
        <v>131</v>
      </c>
      <c r="C13" s="6" t="s">
        <v>38</v>
      </c>
      <c r="D13" s="6" t="s">
        <v>57</v>
      </c>
      <c r="E13" s="6" t="s">
        <v>116</v>
      </c>
      <c r="F13" s="6">
        <v>72</v>
      </c>
      <c r="G13" s="38" t="s">
        <v>64</v>
      </c>
      <c r="H13" s="6" t="s">
        <v>132</v>
      </c>
      <c r="I13" s="6" t="s">
        <v>14</v>
      </c>
      <c r="J13" s="6" t="s">
        <v>119</v>
      </c>
      <c r="K13" s="6" t="s">
        <v>16</v>
      </c>
      <c r="L13" s="6" t="s">
        <v>16</v>
      </c>
    </row>
    <row r="14" spans="1:12" ht="105" x14ac:dyDescent="0.25">
      <c r="A14" s="38">
        <f t="shared" si="0"/>
        <v>13</v>
      </c>
      <c r="B14" s="6" t="s">
        <v>133</v>
      </c>
      <c r="C14" s="6" t="s">
        <v>38</v>
      </c>
      <c r="D14" s="38" t="s">
        <v>57</v>
      </c>
      <c r="E14" s="6" t="s">
        <v>116</v>
      </c>
      <c r="F14" s="6">
        <v>72</v>
      </c>
      <c r="G14" s="38" t="s">
        <v>80</v>
      </c>
      <c r="H14" s="38" t="s">
        <v>124</v>
      </c>
      <c r="I14" s="6" t="s">
        <v>104</v>
      </c>
      <c r="J14" s="6" t="s">
        <v>119</v>
      </c>
      <c r="K14" s="38" t="s">
        <v>16</v>
      </c>
      <c r="L14" s="38" t="s">
        <v>16</v>
      </c>
    </row>
    <row r="15" spans="1:12" ht="90" x14ac:dyDescent="0.25">
      <c r="A15" s="6">
        <f t="shared" si="0"/>
        <v>14</v>
      </c>
      <c r="B15" s="6" t="s">
        <v>134</v>
      </c>
      <c r="C15" s="6" t="s">
        <v>38</v>
      </c>
      <c r="D15" s="6" t="s">
        <v>128</v>
      </c>
      <c r="E15" s="6" t="s">
        <v>103</v>
      </c>
      <c r="F15" s="6" t="s">
        <v>129</v>
      </c>
      <c r="G15" s="38" t="s">
        <v>80</v>
      </c>
      <c r="H15" s="38" t="s">
        <v>124</v>
      </c>
      <c r="I15" s="6" t="s">
        <v>104</v>
      </c>
      <c r="J15" s="6" t="s">
        <v>130</v>
      </c>
      <c r="K15" s="6" t="s">
        <v>16</v>
      </c>
      <c r="L15" s="6" t="s">
        <v>16</v>
      </c>
    </row>
    <row r="16" spans="1:12" ht="90" x14ac:dyDescent="0.25">
      <c r="A16" s="6">
        <f t="shared" si="0"/>
        <v>15</v>
      </c>
      <c r="B16" s="6" t="s">
        <v>135</v>
      </c>
      <c r="C16" s="6" t="s">
        <v>10</v>
      </c>
      <c r="D16" s="6" t="s">
        <v>50</v>
      </c>
      <c r="E16" s="6" t="s">
        <v>51</v>
      </c>
      <c r="F16" s="6" t="s">
        <v>52</v>
      </c>
      <c r="G16" s="6"/>
      <c r="H16" s="6"/>
      <c r="I16" s="6" t="s">
        <v>14</v>
      </c>
      <c r="J16" s="6" t="s">
        <v>114</v>
      </c>
      <c r="K16" s="6" t="s">
        <v>16</v>
      </c>
      <c r="L16" s="6" t="s">
        <v>16</v>
      </c>
    </row>
    <row r="17" spans="1:44" ht="90" x14ac:dyDescent="0.25">
      <c r="A17" s="6">
        <f t="shared" si="0"/>
        <v>16</v>
      </c>
      <c r="B17" s="6" t="s">
        <v>136</v>
      </c>
      <c r="C17" s="6" t="s">
        <v>38</v>
      </c>
      <c r="D17" s="6" t="s">
        <v>11</v>
      </c>
      <c r="E17" s="6" t="s">
        <v>18</v>
      </c>
      <c r="F17" s="6" t="s">
        <v>19</v>
      </c>
      <c r="G17" s="6"/>
      <c r="H17" s="6"/>
      <c r="I17" s="6" t="s">
        <v>14</v>
      </c>
      <c r="J17" s="6" t="s">
        <v>111</v>
      </c>
      <c r="K17" s="6" t="s">
        <v>16</v>
      </c>
      <c r="L17" s="6" t="s">
        <v>16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 spans="1:44" ht="90" x14ac:dyDescent="0.25">
      <c r="A18" s="6">
        <f t="shared" si="0"/>
        <v>17</v>
      </c>
      <c r="B18" s="6" t="s">
        <v>137</v>
      </c>
      <c r="C18" s="6" t="s">
        <v>38</v>
      </c>
      <c r="D18" s="6" t="s">
        <v>11</v>
      </c>
      <c r="E18" s="6" t="s">
        <v>18</v>
      </c>
      <c r="F18" s="6" t="s">
        <v>19</v>
      </c>
      <c r="G18" s="6"/>
      <c r="H18" s="6"/>
      <c r="I18" s="6" t="s">
        <v>14</v>
      </c>
      <c r="J18" s="6" t="s">
        <v>111</v>
      </c>
      <c r="K18" s="6" t="s">
        <v>16</v>
      </c>
      <c r="L18" s="6" t="s">
        <v>16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 spans="1:44" ht="39" x14ac:dyDescent="0.25">
      <c r="A19" s="6">
        <f t="shared" si="0"/>
        <v>18</v>
      </c>
      <c r="B19" s="78" t="s">
        <v>138</v>
      </c>
      <c r="C19" s="77" t="s">
        <v>139</v>
      </c>
      <c r="D19" s="77" t="s">
        <v>140</v>
      </c>
      <c r="E19" s="77" t="s">
        <v>141</v>
      </c>
      <c r="F19" s="77" t="s">
        <v>142</v>
      </c>
      <c r="G19" s="79"/>
      <c r="H19" s="79"/>
      <c r="I19" s="79" t="s">
        <v>143</v>
      </c>
      <c r="J19" s="79"/>
      <c r="K19" s="77" t="s">
        <v>144</v>
      </c>
      <c r="L19" s="77" t="s">
        <v>145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 spans="1:44" ht="39" x14ac:dyDescent="0.25">
      <c r="A20" s="6">
        <f t="shared" si="0"/>
        <v>19</v>
      </c>
      <c r="B20" s="39" t="s">
        <v>146</v>
      </c>
      <c r="C20" s="39" t="s">
        <v>139</v>
      </c>
      <c r="D20" s="39" t="s">
        <v>102</v>
      </c>
      <c r="E20" s="39" t="s">
        <v>147</v>
      </c>
      <c r="F20" s="39" t="s">
        <v>148</v>
      </c>
      <c r="G20" s="39"/>
      <c r="H20" s="39"/>
      <c r="I20" s="39" t="s">
        <v>104</v>
      </c>
      <c r="J20" s="39"/>
      <c r="K20" s="39" t="s">
        <v>144</v>
      </c>
      <c r="L20" s="40" t="s">
        <v>144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3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</row>
    <row r="21" spans="1:44" ht="64.5" x14ac:dyDescent="0.25">
      <c r="A21" s="6">
        <f t="shared" si="0"/>
        <v>20</v>
      </c>
      <c r="B21" s="80" t="s">
        <v>149</v>
      </c>
      <c r="C21" s="80" t="s">
        <v>139</v>
      </c>
      <c r="D21" s="80"/>
      <c r="E21" s="80"/>
      <c r="F21" s="80"/>
      <c r="G21" s="80" t="s">
        <v>150</v>
      </c>
      <c r="H21" s="80" t="s">
        <v>151</v>
      </c>
      <c r="I21" s="80" t="s">
        <v>104</v>
      </c>
      <c r="J21" s="80"/>
      <c r="K21" s="80" t="s">
        <v>144</v>
      </c>
      <c r="L21" s="81" t="s">
        <v>144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3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</row>
    <row r="22" spans="1:44" ht="72.75" x14ac:dyDescent="0.25">
      <c r="A22" s="6">
        <f t="shared" si="0"/>
        <v>21</v>
      </c>
      <c r="B22" s="43" t="s">
        <v>152</v>
      </c>
      <c r="C22" s="43" t="s">
        <v>139</v>
      </c>
      <c r="D22" s="43" t="s">
        <v>11</v>
      </c>
      <c r="E22" s="43" t="s">
        <v>153</v>
      </c>
      <c r="F22" s="43" t="s">
        <v>154</v>
      </c>
      <c r="G22" s="43"/>
      <c r="H22" s="43"/>
      <c r="I22" s="39" t="s">
        <v>14</v>
      </c>
      <c r="J22" s="39" t="s">
        <v>20</v>
      </c>
      <c r="K22" s="39" t="s">
        <v>144</v>
      </c>
      <c r="L22" s="40" t="s">
        <v>144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</row>
    <row r="23" spans="1:44" ht="77.25" x14ac:dyDescent="0.25">
      <c r="A23" s="6">
        <f t="shared" si="0"/>
        <v>22</v>
      </c>
      <c r="B23" s="41" t="s">
        <v>155</v>
      </c>
      <c r="C23" s="41" t="s">
        <v>139</v>
      </c>
      <c r="D23" s="41" t="s">
        <v>11</v>
      </c>
      <c r="E23" s="41" t="s">
        <v>153</v>
      </c>
      <c r="F23" s="41" t="s">
        <v>154</v>
      </c>
      <c r="G23" s="41"/>
      <c r="H23" s="41"/>
      <c r="I23" s="41" t="s">
        <v>14</v>
      </c>
      <c r="J23" s="41" t="s">
        <v>20</v>
      </c>
      <c r="K23" s="41" t="s">
        <v>144</v>
      </c>
      <c r="L23" s="42" t="s">
        <v>145</v>
      </c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7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</row>
    <row r="24" spans="1:44" ht="72.75" x14ac:dyDescent="0.25">
      <c r="A24" s="6">
        <f t="shared" si="0"/>
        <v>23</v>
      </c>
      <c r="B24" s="43" t="s">
        <v>156</v>
      </c>
      <c r="C24" s="43" t="s">
        <v>139</v>
      </c>
      <c r="D24" s="43" t="s">
        <v>11</v>
      </c>
      <c r="E24" s="43" t="s">
        <v>153</v>
      </c>
      <c r="F24" s="43" t="s">
        <v>154</v>
      </c>
      <c r="G24" s="43"/>
      <c r="H24" s="43"/>
      <c r="I24" s="43" t="s">
        <v>14</v>
      </c>
      <c r="J24" s="43" t="s">
        <v>111</v>
      </c>
      <c r="K24" s="43" t="s">
        <v>144</v>
      </c>
      <c r="L24" s="44" t="s">
        <v>144</v>
      </c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4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</row>
    <row r="25" spans="1:44" ht="48.75" x14ac:dyDescent="0.25">
      <c r="A25" s="77">
        <f>A21+1</f>
        <v>21</v>
      </c>
      <c r="B25" s="82" t="s">
        <v>157</v>
      </c>
      <c r="C25" s="80" t="s">
        <v>139</v>
      </c>
      <c r="D25" s="80" t="s">
        <v>158</v>
      </c>
      <c r="E25" s="80" t="s">
        <v>159</v>
      </c>
      <c r="F25" s="80"/>
      <c r="G25" s="82" t="s">
        <v>211</v>
      </c>
      <c r="H25" s="82" t="s">
        <v>213</v>
      </c>
      <c r="I25" s="80" t="s">
        <v>160</v>
      </c>
      <c r="J25" s="80" t="s">
        <v>161</v>
      </c>
      <c r="K25" s="80" t="s">
        <v>145</v>
      </c>
      <c r="L25" s="81" t="s">
        <v>144</v>
      </c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4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</row>
    <row r="26" spans="1:44" ht="39" x14ac:dyDescent="0.25">
      <c r="A26" s="77">
        <f>A21+1</f>
        <v>21</v>
      </c>
      <c r="B26" s="82" t="s">
        <v>157</v>
      </c>
      <c r="C26" s="80" t="s">
        <v>139</v>
      </c>
      <c r="D26" s="80" t="s">
        <v>158</v>
      </c>
      <c r="E26" s="80" t="s">
        <v>159</v>
      </c>
      <c r="F26" s="80"/>
      <c r="G26" s="80" t="s">
        <v>212</v>
      </c>
      <c r="H26" s="82" t="s">
        <v>214</v>
      </c>
      <c r="I26" s="80" t="s">
        <v>160</v>
      </c>
      <c r="J26" s="80" t="s">
        <v>161</v>
      </c>
      <c r="K26" s="80" t="s">
        <v>145</v>
      </c>
      <c r="L26" s="81" t="s">
        <v>144</v>
      </c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4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</row>
    <row r="27" spans="1:44" ht="39" x14ac:dyDescent="0.25">
      <c r="A27" s="77">
        <f>A24+1</f>
        <v>24</v>
      </c>
      <c r="B27" s="82" t="s">
        <v>157</v>
      </c>
      <c r="C27" s="80" t="s">
        <v>139</v>
      </c>
      <c r="D27" s="80" t="s">
        <v>158</v>
      </c>
      <c r="E27" s="80" t="s">
        <v>159</v>
      </c>
      <c r="F27" s="80"/>
      <c r="G27" s="80" t="s">
        <v>212</v>
      </c>
      <c r="H27" s="80" t="s">
        <v>215</v>
      </c>
      <c r="I27" s="80" t="s">
        <v>160</v>
      </c>
      <c r="J27" s="80" t="s">
        <v>161</v>
      </c>
      <c r="K27" s="80" t="s">
        <v>145</v>
      </c>
      <c r="L27" s="81" t="s">
        <v>144</v>
      </c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7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</row>
    <row r="28" spans="1:44" ht="77.25" x14ac:dyDescent="0.25">
      <c r="A28" s="6">
        <f t="shared" si="0"/>
        <v>25</v>
      </c>
      <c r="B28" s="43" t="s">
        <v>162</v>
      </c>
      <c r="C28" s="39" t="s">
        <v>139</v>
      </c>
      <c r="D28" s="43" t="s">
        <v>11</v>
      </c>
      <c r="E28" s="39" t="s">
        <v>153</v>
      </c>
      <c r="F28" s="41" t="s">
        <v>154</v>
      </c>
      <c r="G28" s="39"/>
      <c r="H28" s="39"/>
      <c r="I28" s="39" t="s">
        <v>14</v>
      </c>
      <c r="J28" s="39" t="s">
        <v>111</v>
      </c>
      <c r="K28" s="39" t="s">
        <v>144</v>
      </c>
      <c r="L28" s="40" t="s">
        <v>144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</row>
    <row r="29" spans="1:44" ht="115.5" x14ac:dyDescent="0.25">
      <c r="A29" s="6">
        <f t="shared" si="0"/>
        <v>26</v>
      </c>
      <c r="B29" s="82" t="s">
        <v>163</v>
      </c>
      <c r="C29" s="83" t="s">
        <v>139</v>
      </c>
      <c r="D29" s="84" t="s">
        <v>57</v>
      </c>
      <c r="E29" s="84" t="s">
        <v>159</v>
      </c>
      <c r="F29" s="82"/>
      <c r="G29" s="80"/>
      <c r="H29" s="80" t="s">
        <v>164</v>
      </c>
      <c r="I29" s="83"/>
      <c r="J29" s="83"/>
      <c r="K29" s="83" t="s">
        <v>144</v>
      </c>
      <c r="L29" s="85" t="s">
        <v>145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</row>
    <row r="30" spans="1:44" ht="64.5" x14ac:dyDescent="0.25">
      <c r="A30" s="6">
        <f>A29+1</f>
        <v>27</v>
      </c>
      <c r="B30" s="82" t="s">
        <v>165</v>
      </c>
      <c r="C30" s="80" t="s">
        <v>139</v>
      </c>
      <c r="D30" s="80" t="s">
        <v>166</v>
      </c>
      <c r="E30" s="80" t="s">
        <v>167</v>
      </c>
      <c r="F30" s="80" t="s">
        <v>168</v>
      </c>
      <c r="G30" s="80"/>
      <c r="H30" s="80"/>
      <c r="I30" s="80" t="s">
        <v>14</v>
      </c>
      <c r="J30" s="80"/>
      <c r="K30" s="80" t="s">
        <v>144</v>
      </c>
      <c r="L30" s="81" t="s">
        <v>145</v>
      </c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7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</row>
    <row r="31" spans="1:44" ht="64.5" x14ac:dyDescent="0.25">
      <c r="A31" s="6">
        <f t="shared" si="0"/>
        <v>28</v>
      </c>
      <c r="B31" s="82" t="s">
        <v>169</v>
      </c>
      <c r="C31" s="83" t="s">
        <v>139</v>
      </c>
      <c r="D31" s="83" t="s">
        <v>166</v>
      </c>
      <c r="E31" s="80" t="s">
        <v>167</v>
      </c>
      <c r="F31" s="83" t="s">
        <v>170</v>
      </c>
      <c r="G31" s="83"/>
      <c r="H31" s="83"/>
      <c r="I31" s="83" t="s">
        <v>104</v>
      </c>
      <c r="J31" s="83"/>
      <c r="K31" s="83" t="s">
        <v>144</v>
      </c>
      <c r="L31" s="85" t="s">
        <v>144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</row>
    <row r="32" spans="1:44" ht="48.75" x14ac:dyDescent="0.25">
      <c r="A32" s="6">
        <f t="shared" si="0"/>
        <v>29</v>
      </c>
      <c r="B32" s="82" t="s">
        <v>171</v>
      </c>
      <c r="C32" s="82" t="s">
        <v>139</v>
      </c>
      <c r="D32" s="82" t="s">
        <v>172</v>
      </c>
      <c r="E32" s="82" t="s">
        <v>205</v>
      </c>
      <c r="F32" s="82" t="s">
        <v>173</v>
      </c>
      <c r="G32" s="83"/>
      <c r="H32" s="83"/>
      <c r="I32" s="83" t="s">
        <v>104</v>
      </c>
      <c r="J32" s="83"/>
      <c r="K32" s="83" t="s">
        <v>145</v>
      </c>
      <c r="L32" s="85" t="s">
        <v>144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</row>
    <row r="33" spans="1:44" ht="72.75" x14ac:dyDescent="0.25">
      <c r="A33" s="6">
        <f>A32+1</f>
        <v>30</v>
      </c>
      <c r="B33" s="43" t="s">
        <v>174</v>
      </c>
      <c r="C33" s="43" t="s">
        <v>139</v>
      </c>
      <c r="D33" s="43" t="s">
        <v>57</v>
      </c>
      <c r="E33" s="43" t="s">
        <v>204</v>
      </c>
      <c r="F33" s="43" t="s">
        <v>175</v>
      </c>
      <c r="G33" s="43" t="s">
        <v>150</v>
      </c>
      <c r="H33" s="43" t="s">
        <v>209</v>
      </c>
      <c r="I33" s="43" t="s">
        <v>160</v>
      </c>
      <c r="J33" s="43" t="s">
        <v>161</v>
      </c>
      <c r="K33" s="41" t="s">
        <v>145</v>
      </c>
      <c r="L33" s="42" t="s">
        <v>144</v>
      </c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7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</row>
    <row r="34" spans="1:44" ht="48.75" x14ac:dyDescent="0.25">
      <c r="A34" s="6">
        <f>A33+1</f>
        <v>31</v>
      </c>
      <c r="B34" s="43" t="s">
        <v>174</v>
      </c>
      <c r="C34" s="43" t="s">
        <v>139</v>
      </c>
      <c r="D34" s="43" t="s">
        <v>57</v>
      </c>
      <c r="E34" s="43" t="s">
        <v>204</v>
      </c>
      <c r="F34" s="43" t="s">
        <v>175</v>
      </c>
      <c r="G34" s="43" t="s">
        <v>150</v>
      </c>
      <c r="H34" s="46" t="s">
        <v>151</v>
      </c>
      <c r="I34" s="43" t="s">
        <v>160</v>
      </c>
      <c r="J34" s="43" t="s">
        <v>161</v>
      </c>
      <c r="K34" s="41" t="s">
        <v>145</v>
      </c>
      <c r="L34" s="42" t="s">
        <v>144</v>
      </c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</row>
    <row r="35" spans="1:44" ht="48.75" x14ac:dyDescent="0.25">
      <c r="A35" s="6">
        <f t="shared" ref="A35:A53" si="1">A34+1</f>
        <v>32</v>
      </c>
      <c r="B35" s="43" t="s">
        <v>174</v>
      </c>
      <c r="C35" s="43" t="s">
        <v>139</v>
      </c>
      <c r="D35" s="43" t="s">
        <v>57</v>
      </c>
      <c r="E35" s="43" t="s">
        <v>204</v>
      </c>
      <c r="F35" s="43" t="s">
        <v>175</v>
      </c>
      <c r="G35" s="46" t="s">
        <v>207</v>
      </c>
      <c r="H35" s="46" t="s">
        <v>208</v>
      </c>
      <c r="I35" s="43" t="s">
        <v>160</v>
      </c>
      <c r="J35" s="43" t="s">
        <v>161</v>
      </c>
      <c r="K35" s="41" t="s">
        <v>145</v>
      </c>
      <c r="L35" s="42" t="s">
        <v>144</v>
      </c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</row>
    <row r="36" spans="1:44" ht="48.75" x14ac:dyDescent="0.25">
      <c r="A36" s="6">
        <f t="shared" si="1"/>
        <v>33</v>
      </c>
      <c r="B36" s="43" t="s">
        <v>174</v>
      </c>
      <c r="C36" s="43" t="s">
        <v>139</v>
      </c>
      <c r="D36" s="43" t="s">
        <v>57</v>
      </c>
      <c r="E36" s="43" t="s">
        <v>204</v>
      </c>
      <c r="F36" s="43" t="s">
        <v>175</v>
      </c>
      <c r="G36" s="46" t="s">
        <v>207</v>
      </c>
      <c r="H36" s="46" t="s">
        <v>210</v>
      </c>
      <c r="I36" s="43" t="s">
        <v>160</v>
      </c>
      <c r="J36" s="43" t="s">
        <v>161</v>
      </c>
      <c r="K36" s="41" t="s">
        <v>145</v>
      </c>
      <c r="L36" s="42" t="s">
        <v>144</v>
      </c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</row>
    <row r="37" spans="1:44" ht="64.5" x14ac:dyDescent="0.25">
      <c r="A37" s="6">
        <f t="shared" si="1"/>
        <v>34</v>
      </c>
      <c r="B37" s="82" t="s">
        <v>176</v>
      </c>
      <c r="C37" s="80" t="s">
        <v>139</v>
      </c>
      <c r="D37" s="86" t="s">
        <v>158</v>
      </c>
      <c r="E37" s="86" t="s">
        <v>177</v>
      </c>
      <c r="F37" s="86"/>
      <c r="G37" s="87"/>
      <c r="H37" s="87"/>
      <c r="I37" s="83" t="s">
        <v>160</v>
      </c>
      <c r="J37" s="83"/>
      <c r="K37" s="83" t="s">
        <v>145</v>
      </c>
      <c r="L37" s="85" t="s">
        <v>144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</row>
    <row r="38" spans="1:44" ht="60.75" x14ac:dyDescent="0.25">
      <c r="A38" s="6">
        <f t="shared" si="1"/>
        <v>35</v>
      </c>
      <c r="B38" s="88" t="s">
        <v>178</v>
      </c>
      <c r="C38" s="89" t="s">
        <v>139</v>
      </c>
      <c r="D38" s="90" t="s">
        <v>102</v>
      </c>
      <c r="E38" s="91" t="s">
        <v>206</v>
      </c>
      <c r="F38" s="91" t="s">
        <v>148</v>
      </c>
      <c r="G38" s="91"/>
      <c r="H38" s="91"/>
      <c r="I38" s="92" t="s">
        <v>104</v>
      </c>
      <c r="J38" s="88"/>
      <c r="K38" s="88" t="s">
        <v>144</v>
      </c>
      <c r="L38" s="89" t="s">
        <v>144</v>
      </c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</row>
    <row r="39" spans="1:44" ht="64.5" x14ac:dyDescent="0.25">
      <c r="A39" s="6">
        <f t="shared" si="1"/>
        <v>36</v>
      </c>
      <c r="B39" s="93" t="s">
        <v>179</v>
      </c>
      <c r="C39" s="93" t="s">
        <v>139</v>
      </c>
      <c r="D39" s="94" t="s">
        <v>102</v>
      </c>
      <c r="E39" s="95" t="s">
        <v>180</v>
      </c>
      <c r="F39" s="95" t="s">
        <v>181</v>
      </c>
      <c r="G39" s="95"/>
      <c r="H39" s="95"/>
      <c r="I39" s="95" t="s">
        <v>104</v>
      </c>
      <c r="J39" s="95"/>
      <c r="K39" s="95" t="s">
        <v>144</v>
      </c>
      <c r="L39" s="96" t="s">
        <v>144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</row>
    <row r="40" spans="1:44" ht="228.75" x14ac:dyDescent="0.25">
      <c r="A40" s="6">
        <f t="shared" si="1"/>
        <v>37</v>
      </c>
      <c r="B40" s="47" t="s">
        <v>182</v>
      </c>
      <c r="C40" s="47" t="s">
        <v>139</v>
      </c>
      <c r="D40" s="47" t="s">
        <v>57</v>
      </c>
      <c r="E40" s="49" t="s">
        <v>159</v>
      </c>
      <c r="F40" s="49" t="s">
        <v>183</v>
      </c>
      <c r="G40" s="49" t="s">
        <v>184</v>
      </c>
      <c r="H40" s="49" t="s">
        <v>185</v>
      </c>
      <c r="I40" s="49"/>
      <c r="J40" s="49"/>
      <c r="K40" s="49" t="s">
        <v>144</v>
      </c>
      <c r="L40" s="50" t="s">
        <v>144</v>
      </c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5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</row>
    <row r="41" spans="1:44" ht="36.75" x14ac:dyDescent="0.25">
      <c r="A41" s="6">
        <f t="shared" ref="A41:A43" si="2">A40+1</f>
        <v>38</v>
      </c>
      <c r="B41" s="47" t="s">
        <v>182</v>
      </c>
      <c r="C41" s="47" t="s">
        <v>139</v>
      </c>
      <c r="D41" s="47" t="s">
        <v>57</v>
      </c>
      <c r="E41" s="49" t="s">
        <v>159</v>
      </c>
      <c r="F41" s="49" t="s">
        <v>183</v>
      </c>
      <c r="G41" s="99" t="s">
        <v>211</v>
      </c>
      <c r="H41" s="98"/>
      <c r="I41" s="98"/>
      <c r="J41" s="98"/>
      <c r="K41" s="98"/>
      <c r="L41" s="100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</row>
    <row r="42" spans="1:44" ht="36.75" x14ac:dyDescent="0.25">
      <c r="A42" s="6">
        <f t="shared" si="2"/>
        <v>39</v>
      </c>
      <c r="B42" s="47" t="s">
        <v>182</v>
      </c>
      <c r="C42" s="47" t="s">
        <v>139</v>
      </c>
      <c r="D42" s="47" t="s">
        <v>57</v>
      </c>
      <c r="E42" s="49" t="s">
        <v>159</v>
      </c>
      <c r="F42" s="49" t="s">
        <v>183</v>
      </c>
      <c r="G42" s="99" t="s">
        <v>216</v>
      </c>
      <c r="H42" s="98"/>
      <c r="I42" s="98"/>
      <c r="J42" s="98"/>
      <c r="K42" s="98"/>
      <c r="L42" s="100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</row>
    <row r="43" spans="1:44" ht="36.75" x14ac:dyDescent="0.25">
      <c r="A43" s="6">
        <f t="shared" si="2"/>
        <v>40</v>
      </c>
      <c r="B43" s="47" t="s">
        <v>182</v>
      </c>
      <c r="C43" s="47" t="s">
        <v>139</v>
      </c>
      <c r="D43" s="47" t="s">
        <v>57</v>
      </c>
      <c r="E43" s="49" t="s">
        <v>159</v>
      </c>
      <c r="F43" s="49" t="s">
        <v>183</v>
      </c>
      <c r="G43" s="99" t="s">
        <v>216</v>
      </c>
      <c r="H43" s="98"/>
      <c r="I43" s="98"/>
      <c r="J43" s="98"/>
      <c r="K43" s="98"/>
      <c r="L43" s="100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</row>
    <row r="44" spans="1:44" ht="26.25" x14ac:dyDescent="0.25">
      <c r="A44" s="6">
        <f>A40+1</f>
        <v>38</v>
      </c>
      <c r="B44" s="52" t="s">
        <v>186</v>
      </c>
      <c r="C44" s="52" t="s">
        <v>139</v>
      </c>
      <c r="D44" s="52" t="s">
        <v>187</v>
      </c>
      <c r="E44" s="52" t="s">
        <v>188</v>
      </c>
      <c r="F44" s="52" t="s">
        <v>189</v>
      </c>
      <c r="G44" s="51" t="s">
        <v>99</v>
      </c>
      <c r="H44" s="52"/>
      <c r="I44" s="52" t="s">
        <v>104</v>
      </c>
      <c r="J44" s="52"/>
      <c r="K44" s="52" t="s">
        <v>144</v>
      </c>
      <c r="L44" s="53" t="s">
        <v>144</v>
      </c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</row>
    <row r="45" spans="1:44" ht="96.75" x14ac:dyDescent="0.25">
      <c r="A45" s="6">
        <f t="shared" si="1"/>
        <v>39</v>
      </c>
      <c r="B45" s="48" t="s">
        <v>190</v>
      </c>
      <c r="C45" s="48" t="s">
        <v>139</v>
      </c>
      <c r="D45" s="47" t="s">
        <v>191</v>
      </c>
      <c r="E45" s="47" t="s">
        <v>192</v>
      </c>
      <c r="F45" s="48" t="s">
        <v>193</v>
      </c>
      <c r="G45" s="48" t="s">
        <v>99</v>
      </c>
      <c r="H45" s="48"/>
      <c r="I45" s="48" t="s">
        <v>104</v>
      </c>
      <c r="J45" s="48"/>
      <c r="K45" s="48" t="s">
        <v>145</v>
      </c>
      <c r="L45" s="54" t="s">
        <v>144</v>
      </c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6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</row>
    <row r="46" spans="1:44" ht="115.5" x14ac:dyDescent="0.25">
      <c r="A46" s="6">
        <f t="shared" si="1"/>
        <v>40</v>
      </c>
      <c r="B46" s="55" t="s">
        <v>194</v>
      </c>
      <c r="C46" s="55" t="s">
        <v>139</v>
      </c>
      <c r="D46" s="45" t="s">
        <v>158</v>
      </c>
      <c r="E46" s="55"/>
      <c r="F46" s="55" t="s">
        <v>195</v>
      </c>
      <c r="G46" s="55"/>
      <c r="H46" s="55"/>
      <c r="I46" s="55" t="s">
        <v>104</v>
      </c>
      <c r="J46" s="55"/>
      <c r="K46" s="55" t="s">
        <v>144</v>
      </c>
      <c r="L46" s="56" t="s">
        <v>144</v>
      </c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37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</row>
    <row r="47" spans="1:44" ht="45" x14ac:dyDescent="0.25">
      <c r="A47" s="6">
        <f t="shared" si="1"/>
        <v>41</v>
      </c>
      <c r="B47" s="57" t="s">
        <v>196</v>
      </c>
      <c r="C47" s="58" t="s">
        <v>98</v>
      </c>
      <c r="D47" s="59"/>
      <c r="E47" s="60" t="s">
        <v>103</v>
      </c>
      <c r="F47" s="61">
        <v>52.2</v>
      </c>
      <c r="G47" s="58" t="s">
        <v>99</v>
      </c>
      <c r="H47" s="58"/>
      <c r="I47" s="58" t="s">
        <v>104</v>
      </c>
      <c r="J47" s="58"/>
      <c r="K47" s="62" t="s">
        <v>144</v>
      </c>
      <c r="L47" s="63" t="s">
        <v>144</v>
      </c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</row>
    <row r="48" spans="1:44" ht="45" x14ac:dyDescent="0.25">
      <c r="A48" s="6">
        <f t="shared" si="1"/>
        <v>42</v>
      </c>
      <c r="B48" s="64" t="s">
        <v>197</v>
      </c>
      <c r="C48" s="65" t="s">
        <v>98</v>
      </c>
      <c r="D48" s="66" t="s">
        <v>102</v>
      </c>
      <c r="E48" s="67" t="s">
        <v>103</v>
      </c>
      <c r="F48" s="68">
        <v>50.1</v>
      </c>
      <c r="G48" s="65" t="s">
        <v>99</v>
      </c>
      <c r="H48" s="65"/>
      <c r="I48" s="65" t="s">
        <v>104</v>
      </c>
      <c r="J48" s="65"/>
      <c r="K48" s="45" t="s">
        <v>144</v>
      </c>
      <c r="L48" s="69" t="s">
        <v>144</v>
      </c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</row>
    <row r="49" spans="1:44" ht="45" x14ac:dyDescent="0.25">
      <c r="A49" s="6">
        <f t="shared" si="1"/>
        <v>43</v>
      </c>
      <c r="B49" s="64" t="s">
        <v>198</v>
      </c>
      <c r="C49" s="65" t="s">
        <v>98</v>
      </c>
      <c r="D49" s="66" t="s">
        <v>102</v>
      </c>
      <c r="E49" s="67" t="s">
        <v>103</v>
      </c>
      <c r="F49" s="68">
        <v>52.2</v>
      </c>
      <c r="G49" s="65" t="s">
        <v>99</v>
      </c>
      <c r="H49" s="65"/>
      <c r="I49" s="65" t="s">
        <v>104</v>
      </c>
      <c r="J49" s="65"/>
      <c r="K49" s="45" t="s">
        <v>144</v>
      </c>
      <c r="L49" s="69" t="s">
        <v>144</v>
      </c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</row>
    <row r="50" spans="1:44" ht="45" x14ac:dyDescent="0.25">
      <c r="A50" s="6">
        <f t="shared" si="1"/>
        <v>44</v>
      </c>
      <c r="B50" s="64" t="s">
        <v>199</v>
      </c>
      <c r="C50" s="65" t="s">
        <v>98</v>
      </c>
      <c r="D50" s="66" t="s">
        <v>102</v>
      </c>
      <c r="E50" s="67" t="s">
        <v>103</v>
      </c>
      <c r="F50" s="68">
        <v>52.2</v>
      </c>
      <c r="G50" s="65" t="s">
        <v>99</v>
      </c>
      <c r="H50" s="65"/>
      <c r="I50" s="65" t="s">
        <v>104</v>
      </c>
      <c r="J50" s="65"/>
      <c r="K50" s="45" t="s">
        <v>144</v>
      </c>
      <c r="L50" s="69" t="s">
        <v>144</v>
      </c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</row>
    <row r="51" spans="1:44" ht="45" x14ac:dyDescent="0.25">
      <c r="A51" s="6">
        <f t="shared" si="1"/>
        <v>45</v>
      </c>
      <c r="B51" s="64" t="s">
        <v>200</v>
      </c>
      <c r="C51" s="65" t="s">
        <v>98</v>
      </c>
      <c r="D51" s="66" t="s">
        <v>102</v>
      </c>
      <c r="E51" s="67" t="s">
        <v>103</v>
      </c>
      <c r="F51" s="68">
        <v>52.2</v>
      </c>
      <c r="G51" s="65" t="s">
        <v>99</v>
      </c>
      <c r="H51" s="65"/>
      <c r="I51" s="65" t="s">
        <v>104</v>
      </c>
      <c r="J51" s="65"/>
      <c r="K51" s="45" t="s">
        <v>144</v>
      </c>
      <c r="L51" s="69" t="s">
        <v>144</v>
      </c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</row>
    <row r="52" spans="1:44" ht="45" x14ac:dyDescent="0.25">
      <c r="A52" s="6">
        <f t="shared" si="1"/>
        <v>46</v>
      </c>
      <c r="B52" s="64" t="s">
        <v>201</v>
      </c>
      <c r="C52" s="65" t="s">
        <v>98</v>
      </c>
      <c r="D52" s="66" t="s">
        <v>102</v>
      </c>
      <c r="E52" s="67" t="s">
        <v>103</v>
      </c>
      <c r="F52" s="65">
        <v>52.2</v>
      </c>
      <c r="G52" s="65" t="s">
        <v>99</v>
      </c>
      <c r="H52" s="65"/>
      <c r="I52" s="65" t="s">
        <v>104</v>
      </c>
      <c r="J52" s="65"/>
      <c r="K52" s="45" t="s">
        <v>144</v>
      </c>
      <c r="L52" s="69" t="s">
        <v>144</v>
      </c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</row>
    <row r="53" spans="1:44" ht="39" x14ac:dyDescent="0.25">
      <c r="A53" s="6">
        <f t="shared" si="1"/>
        <v>47</v>
      </c>
      <c r="B53" s="64" t="s">
        <v>202</v>
      </c>
      <c r="C53" s="65" t="s">
        <v>98</v>
      </c>
      <c r="D53" s="65" t="s">
        <v>11</v>
      </c>
      <c r="E53" s="65" t="s">
        <v>18</v>
      </c>
      <c r="F53" s="65">
        <v>84.11</v>
      </c>
      <c r="G53" s="65" t="s">
        <v>99</v>
      </c>
      <c r="H53" s="65"/>
      <c r="I53" s="65" t="s">
        <v>14</v>
      </c>
      <c r="J53" s="66" t="s">
        <v>203</v>
      </c>
      <c r="K53" s="55" t="s">
        <v>144</v>
      </c>
      <c r="L53" s="56" t="s">
        <v>144</v>
      </c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</row>
    <row r="54" spans="1:44" x14ac:dyDescent="0.25">
      <c r="A54" s="19"/>
      <c r="B54" s="17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</row>
    <row r="55" spans="1:44" x14ac:dyDescent="0.25">
      <c r="A55" s="19"/>
      <c r="B55" s="17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</row>
    <row r="56" spans="1:44" x14ac:dyDescent="0.25">
      <c r="A56" s="19"/>
      <c r="B56" s="17"/>
      <c r="C56" s="19"/>
      <c r="D56" s="19"/>
      <c r="E56" s="19"/>
      <c r="F56" s="19"/>
      <c r="G56" s="19"/>
      <c r="H56" s="19"/>
      <c r="I56" s="19"/>
      <c r="J56" s="19"/>
      <c r="K56" s="19"/>
      <c r="L56" s="19"/>
    </row>
    <row r="57" spans="1:44" x14ac:dyDescent="0.25">
      <c r="A57" s="19"/>
      <c r="B57" s="17"/>
      <c r="C57" s="19"/>
      <c r="D57" s="19"/>
      <c r="E57" s="19"/>
      <c r="F57" s="19"/>
      <c r="G57" s="19"/>
      <c r="H57" s="19"/>
      <c r="I57" s="19"/>
      <c r="J57" s="19"/>
      <c r="K57" s="19"/>
      <c r="L57" s="19"/>
    </row>
    <row r="58" spans="1:44" x14ac:dyDescent="0.25">
      <c r="A58" s="19"/>
      <c r="B58" s="17"/>
      <c r="C58" s="19"/>
      <c r="D58" s="19"/>
      <c r="E58" s="19"/>
      <c r="F58" s="19"/>
      <c r="G58" s="19"/>
      <c r="H58" s="19"/>
      <c r="I58" s="19"/>
      <c r="J58" s="19"/>
      <c r="K58" s="19"/>
      <c r="L58" s="19"/>
    </row>
    <row r="59" spans="1:44" x14ac:dyDescent="0.25">
      <c r="A59" s="70"/>
      <c r="B59" s="71"/>
      <c r="C59" s="70"/>
      <c r="D59" s="70"/>
      <c r="E59" s="70"/>
      <c r="F59" s="19"/>
      <c r="G59" s="19"/>
      <c r="H59" s="19"/>
      <c r="I59" s="19"/>
      <c r="J59" s="19"/>
      <c r="K59" s="19"/>
      <c r="L59" s="19"/>
    </row>
    <row r="60" spans="1:44" x14ac:dyDescent="0.25">
      <c r="A60" s="70"/>
      <c r="B60" s="71"/>
      <c r="C60" s="70"/>
      <c r="D60" s="70"/>
      <c r="E60" s="70"/>
      <c r="F60" s="19"/>
      <c r="G60" s="19"/>
      <c r="H60" s="19"/>
      <c r="I60" s="19"/>
      <c r="J60" s="19"/>
      <c r="K60" s="19"/>
      <c r="L60" s="19"/>
    </row>
    <row r="61" spans="1:44" x14ac:dyDescent="0.25">
      <c r="A61" s="70"/>
      <c r="B61" s="71"/>
      <c r="C61" s="70"/>
      <c r="D61" s="70"/>
      <c r="E61" s="70"/>
      <c r="F61" s="19"/>
      <c r="G61" s="19"/>
      <c r="H61" s="19"/>
      <c r="I61" s="19"/>
      <c r="J61" s="19"/>
      <c r="K61" s="19"/>
      <c r="L61" s="19"/>
    </row>
    <row r="62" spans="1:44" x14ac:dyDescent="0.25">
      <c r="A62" s="72"/>
      <c r="B62" s="72"/>
      <c r="C62" s="72"/>
      <c r="D62" s="72"/>
      <c r="E62" s="72"/>
    </row>
    <row r="63" spans="1:44" x14ac:dyDescent="0.25">
      <c r="A63" s="72"/>
      <c r="B63" s="72"/>
      <c r="C63" s="72"/>
      <c r="D63" s="72"/>
      <c r="E63" s="72"/>
    </row>
    <row r="64" spans="1:44" x14ac:dyDescent="0.25">
      <c r="A64" s="71"/>
      <c r="B64" s="73"/>
      <c r="C64" s="74"/>
      <c r="D64" s="71"/>
      <c r="E64" s="71"/>
      <c r="F64" s="17"/>
      <c r="G64" s="17"/>
      <c r="H64" s="17"/>
      <c r="I64" s="17"/>
      <c r="J64" s="17"/>
      <c r="K64" s="17"/>
      <c r="L64" s="17"/>
    </row>
    <row r="65" spans="1:12" x14ac:dyDescent="0.25">
      <c r="A65" s="71"/>
      <c r="B65" s="70"/>
      <c r="C65" s="74"/>
      <c r="D65" s="71"/>
      <c r="E65" s="71"/>
      <c r="F65" s="17"/>
      <c r="G65" s="17"/>
      <c r="H65" s="17"/>
      <c r="I65" s="17"/>
      <c r="J65" s="17"/>
      <c r="K65" s="17"/>
      <c r="L65" s="17"/>
    </row>
    <row r="66" spans="1:12" x14ac:dyDescent="0.25">
      <c r="A66" s="71"/>
      <c r="B66" s="75"/>
      <c r="C66" s="74"/>
      <c r="D66" s="71"/>
      <c r="E66" s="71"/>
      <c r="F66" s="17"/>
      <c r="G66" s="17"/>
      <c r="H66" s="17"/>
      <c r="I66" s="17"/>
      <c r="J66" s="17"/>
      <c r="K66" s="17"/>
      <c r="L66" s="17"/>
    </row>
    <row r="67" spans="1:12" x14ac:dyDescent="0.25">
      <c r="A67" s="71"/>
      <c r="B67" s="75"/>
      <c r="C67" s="74"/>
      <c r="D67" s="71"/>
      <c r="E67" s="71"/>
      <c r="F67" s="17"/>
      <c r="G67" s="17"/>
      <c r="H67" s="17"/>
      <c r="I67" s="17"/>
      <c r="J67" s="17"/>
      <c r="K67" s="17"/>
      <c r="L67" s="17"/>
    </row>
    <row r="68" spans="1:12" x14ac:dyDescent="0.25">
      <c r="A68" s="71"/>
      <c r="B68" s="75"/>
      <c r="C68" s="74"/>
      <c r="D68" s="71"/>
      <c r="E68" s="71"/>
      <c r="F68" s="17"/>
      <c r="G68" s="17"/>
      <c r="H68" s="17"/>
      <c r="I68" s="17"/>
      <c r="J68" s="17"/>
      <c r="K68" s="17"/>
      <c r="L68" s="17"/>
    </row>
    <row r="69" spans="1:12" x14ac:dyDescent="0.25">
      <c r="A69" s="71"/>
      <c r="B69" s="75"/>
      <c r="C69" s="74"/>
      <c r="D69" s="71"/>
      <c r="E69" s="71"/>
      <c r="F69" s="17"/>
      <c r="G69" s="17"/>
      <c r="H69" s="17"/>
      <c r="I69" s="17"/>
      <c r="J69" s="17"/>
      <c r="K69" s="17"/>
      <c r="L69" s="17"/>
    </row>
    <row r="70" spans="1:12" x14ac:dyDescent="0.25">
      <c r="A70" s="71"/>
      <c r="B70" s="75"/>
      <c r="C70" s="75"/>
      <c r="D70" s="71"/>
      <c r="E70" s="71"/>
      <c r="F70" s="17"/>
      <c r="G70" s="17"/>
      <c r="H70" s="17"/>
      <c r="I70" s="17"/>
      <c r="J70" s="17"/>
      <c r="K70" s="17"/>
      <c r="L70" s="17"/>
    </row>
    <row r="71" spans="1:12" x14ac:dyDescent="0.25">
      <c r="A71" s="71"/>
      <c r="B71" s="75"/>
      <c r="C71" s="75"/>
      <c r="D71" s="71"/>
      <c r="E71" s="71"/>
      <c r="F71" s="17"/>
      <c r="G71" s="17"/>
      <c r="H71" s="17"/>
      <c r="I71" s="17"/>
      <c r="J71" s="17"/>
      <c r="K71" s="17"/>
      <c r="L71" s="17"/>
    </row>
    <row r="72" spans="1:12" x14ac:dyDescent="0.25">
      <c r="A72" s="72"/>
      <c r="B72" s="75"/>
      <c r="C72" s="75"/>
      <c r="D72" s="72"/>
      <c r="E72" s="72"/>
    </row>
    <row r="73" spans="1:12" x14ac:dyDescent="0.25">
      <c r="A73" s="72"/>
      <c r="B73" s="70"/>
      <c r="C73" s="70"/>
      <c r="D73" s="72"/>
      <c r="E73" s="72"/>
    </row>
    <row r="74" spans="1:12" x14ac:dyDescent="0.25">
      <c r="A74" s="72"/>
      <c r="B74" s="72"/>
      <c r="C74" s="72"/>
      <c r="D74" s="72"/>
      <c r="E74" s="72"/>
    </row>
    <row r="75" spans="1:12" x14ac:dyDescent="0.25">
      <c r="A75" s="72"/>
      <c r="B75" s="73"/>
      <c r="C75" s="75"/>
      <c r="D75" s="72"/>
      <c r="E75" s="72"/>
    </row>
    <row r="76" spans="1:12" x14ac:dyDescent="0.25">
      <c r="A76" s="72"/>
      <c r="B76" s="76"/>
      <c r="C76" s="75"/>
      <c r="D76" s="72"/>
      <c r="E76" s="72"/>
    </row>
    <row r="77" spans="1:12" x14ac:dyDescent="0.25">
      <c r="A77" s="72"/>
      <c r="B77" s="76"/>
      <c r="C77" s="75"/>
      <c r="D77" s="72"/>
      <c r="E77" s="72"/>
    </row>
    <row r="78" spans="1:12" x14ac:dyDescent="0.25">
      <c r="A78" s="72"/>
      <c r="B78" s="76"/>
      <c r="C78" s="75"/>
      <c r="D78" s="72"/>
      <c r="E78" s="72"/>
    </row>
    <row r="79" spans="1:12" x14ac:dyDescent="0.25">
      <c r="A79" s="72"/>
      <c r="B79" s="76"/>
      <c r="C79" s="75"/>
      <c r="D79" s="72"/>
      <c r="E79" s="72"/>
    </row>
    <row r="80" spans="1:12" x14ac:dyDescent="0.25">
      <c r="A80" s="72"/>
      <c r="B80" s="72"/>
      <c r="C80" s="72"/>
      <c r="D80" s="72"/>
      <c r="E80" s="72"/>
    </row>
    <row r="81" spans="1:5" x14ac:dyDescent="0.25">
      <c r="A81" s="72"/>
      <c r="B81" s="72"/>
      <c r="C81" s="72"/>
      <c r="D81" s="72"/>
      <c r="E81" s="72"/>
    </row>
    <row r="82" spans="1:5" x14ac:dyDescent="0.25">
      <c r="A82" s="72"/>
      <c r="B82" s="72"/>
      <c r="C82" s="72"/>
      <c r="D82" s="72"/>
      <c r="E82" s="72"/>
    </row>
    <row r="83" spans="1:5" x14ac:dyDescent="0.25">
      <c r="A83" s="72"/>
      <c r="B83" s="72"/>
      <c r="C83" s="72"/>
      <c r="D83" s="72"/>
      <c r="E83" s="72"/>
    </row>
    <row r="84" spans="1:5" x14ac:dyDescent="0.25">
      <c r="A84" s="72"/>
      <c r="B84" s="72"/>
      <c r="C84" s="72"/>
      <c r="D84" s="72"/>
      <c r="E84" s="72"/>
    </row>
    <row r="85" spans="1:5" x14ac:dyDescent="0.25">
      <c r="A85" s="72"/>
      <c r="B85" s="72"/>
      <c r="C85" s="72"/>
      <c r="D85" s="72"/>
      <c r="E85" s="72"/>
    </row>
    <row r="86" spans="1:5" x14ac:dyDescent="0.25">
      <c r="A86" s="72"/>
      <c r="B86" s="72"/>
      <c r="C86" s="72"/>
      <c r="D86" s="72"/>
      <c r="E86" s="72"/>
    </row>
  </sheetData>
  <hyperlinks>
    <hyperlink ref="D32" r:id="rId1" xr:uid="{37326EC1-0D3A-4CEB-A4E1-B91FD1C5CC87}"/>
    <hyperlink ref="E20" r:id="rId2" xr:uid="{5C64EC4C-720D-4C41-8062-F0937739F8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cs_1</vt:lpstr>
      <vt:lpstr>cs_2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Χριστινα-Μαρια Ανδρωνα</cp:lastModifiedBy>
  <dcterms:created xsi:type="dcterms:W3CDTF">2023-01-17T12:33:30Z</dcterms:created>
  <dcterms:modified xsi:type="dcterms:W3CDTF">2024-02-22T13:10:09Z</dcterms:modified>
</cp:coreProperties>
</file>